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<sst xmlns="http://schemas.openxmlformats.org/spreadsheetml/2006/main" count="159" uniqueCount="108">
  <si>
    <t>Engine Model</t>
  </si>
  <si>
    <t>HMT 7522 TC</t>
  </si>
  <si>
    <t>Dyno Constant</t>
  </si>
  <si>
    <t>8 mode emission data</t>
  </si>
  <si>
    <t>Date:</t>
  </si>
  <si>
    <t>17.11.2009</t>
  </si>
  <si>
    <t>Test No.:</t>
  </si>
  <si>
    <t>Mode</t>
  </si>
  <si>
    <t>Speed</t>
  </si>
  <si>
    <t>Load</t>
  </si>
  <si>
    <t>Torque</t>
  </si>
  <si>
    <t>Power</t>
  </si>
  <si>
    <t>Smoke</t>
  </si>
  <si>
    <t>FCRate</t>
  </si>
  <si>
    <t>AirFlow</t>
  </si>
  <si>
    <t>RH</t>
  </si>
  <si>
    <t>AIT</t>
  </si>
  <si>
    <t>P Baro</t>
  </si>
  <si>
    <t>NOx</t>
  </si>
  <si>
    <t>CO</t>
  </si>
  <si>
    <t>HC</t>
  </si>
  <si>
    <t>Hum</t>
  </si>
  <si>
    <t>D-W</t>
  </si>
  <si>
    <t>Corr. Emissions</t>
  </si>
  <si>
    <t>WF</t>
  </si>
  <si>
    <t>wet</t>
  </si>
  <si>
    <t>dry</t>
  </si>
  <si>
    <t>C.F.</t>
  </si>
  <si>
    <t>W.F.</t>
  </si>
  <si>
    <t>*</t>
  </si>
  <si>
    <t>A</t>
  </si>
  <si>
    <t>B</t>
  </si>
  <si>
    <t>c</t>
  </si>
  <si>
    <t>DW</t>
  </si>
  <si>
    <t>AH</t>
  </si>
  <si>
    <t>T</t>
  </si>
  <si>
    <t>Air Flow</t>
  </si>
  <si>
    <t>VP</t>
  </si>
  <si>
    <t>SVP</t>
  </si>
  <si>
    <t>Rho</t>
  </si>
  <si>
    <t>Pb</t>
  </si>
  <si>
    <t>rpm</t>
  </si>
  <si>
    <t>N</t>
  </si>
  <si>
    <t>Nm</t>
  </si>
  <si>
    <t>kW</t>
  </si>
  <si>
    <t>HSU</t>
  </si>
  <si>
    <t>kg/h</t>
  </si>
  <si>
    <t>%</t>
  </si>
  <si>
    <t>degC</t>
  </si>
  <si>
    <t>kPa</t>
  </si>
  <si>
    <t>ppm</t>
  </si>
  <si>
    <t>g/h</t>
  </si>
  <si>
    <t>kg/m3</t>
  </si>
  <si>
    <t>mm Hg</t>
  </si>
  <si>
    <t>-</t>
  </si>
  <si>
    <t xml:space="preserve">Manifold </t>
  </si>
  <si>
    <t>P_EXH</t>
  </si>
  <si>
    <t>AID</t>
  </si>
  <si>
    <t>LOP</t>
  </si>
  <si>
    <t>TWO</t>
  </si>
  <si>
    <t>LOT</t>
  </si>
  <si>
    <t>T_EXH</t>
  </si>
  <si>
    <t>TFI</t>
  </si>
  <si>
    <t>TFO</t>
  </si>
  <si>
    <t>O2</t>
  </si>
  <si>
    <t>CO2</t>
  </si>
  <si>
    <t>A/F</t>
  </si>
  <si>
    <t>BSFC</t>
  </si>
  <si>
    <t>Abs</t>
  </si>
  <si>
    <t>Vol.Eff.</t>
  </si>
  <si>
    <t>Airflow</t>
  </si>
  <si>
    <t>Lambda</t>
  </si>
  <si>
    <t>DSOI</t>
  </si>
  <si>
    <t>% Dev.</t>
  </si>
  <si>
    <t>Temp.</t>
  </si>
  <si>
    <t>Ratio</t>
  </si>
  <si>
    <t>FTIR</t>
  </si>
  <si>
    <t>Act</t>
  </si>
  <si>
    <t>mm H2O</t>
  </si>
  <si>
    <t>bar</t>
  </si>
  <si>
    <t>g/kWh</t>
  </si>
  <si>
    <t>g/kg</t>
  </si>
  <si>
    <t>ratio</t>
  </si>
  <si>
    <t>***</t>
  </si>
  <si>
    <t>NOx =</t>
  </si>
  <si>
    <t xml:space="preserve"> </t>
  </si>
  <si>
    <t xml:space="preserve">Nozzle: </t>
  </si>
  <si>
    <t>Bowl:</t>
  </si>
  <si>
    <t>CO =</t>
  </si>
  <si>
    <t xml:space="preserve">NOx+HC = </t>
  </si>
  <si>
    <t>Washer:</t>
  </si>
  <si>
    <t>Remarks</t>
  </si>
  <si>
    <t>As it is Baseline test</t>
  </si>
  <si>
    <t>HC =</t>
  </si>
  <si>
    <t>HPP:</t>
  </si>
  <si>
    <t>PM =</t>
  </si>
  <si>
    <t>SIT:</t>
  </si>
  <si>
    <t>Bore</t>
  </si>
  <si>
    <t>Stroke</t>
  </si>
  <si>
    <t>No. of Cyl</t>
  </si>
  <si>
    <t>Swept Vol CC</t>
  </si>
  <si>
    <t>FLP data- 2522 baseline emission test</t>
  </si>
  <si>
    <t>start of pr rise</t>
  </si>
  <si>
    <t>nozzle opening (250 bar)</t>
  </si>
  <si>
    <t>nozzle closing (245 bar)</t>
  </si>
  <si>
    <t>Peak Pr.</t>
  </si>
  <si>
    <t>CA. Deg.</t>
  </si>
  <si>
    <t>Bar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</si>
</sst>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0.0000000000"/>
  </numFmts>
  <fonts count="11">
    <font>
      <sz val="10.0"/>
      <color rgb="FF000000"/>
      <name val="Arial"/>
    </font>
    <font>
      <b/>
      <sz val="16.0"/>
      <color rgb="FF000000"/>
      <name val="Calibri"/>
    </font>
    <font/>
    <font>
      <sz val="11.0"/>
      <color rgb="FF000000"/>
      <name val="Calibri"/>
    </font>
    <font>
      <b/>
      <sz val="12.0"/>
      <color rgb="FF000000"/>
      <name val="Calibri"/>
    </font>
    <font>
      <b/>
      <sz val="10.0"/>
      <color rgb="FF000000"/>
      <name val="Calibri"/>
    </font>
    <font>
      <sz val="8.0"/>
      <color rgb="FF000000"/>
    </font>
    <font>
      <b/>
      <sz val="11.0"/>
      <color rgb="FF000000"/>
      <name val="Calibri"/>
    </font>
    <font>
      <b/>
      <sz val="12.0"/>
      <color rgb="FF000000"/>
    </font>
    <font>
      <b/>
      <sz val="10.0"/>
      <color rgb="FF000000"/>
    </font>
    <font>
      <sz val="10.0"/>
      <color rgb="FF000000"/>
    </font>
  </fonts>
  <fills count="10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D9D9D9"/>
        <bgColor rgb="FFD9D9D9"/>
      </patternFill>
    </fill>
    <fill>
      <patternFill patternType="solid">
        <fgColor rgb="FFCCFFCC"/>
        <bgColor rgb="FFCCFFCC"/>
      </patternFill>
    </fill>
    <fill>
      <patternFill patternType="solid">
        <fgColor rgb="FFFFCC99"/>
        <bgColor rgb="FFFFCC99"/>
      </patternFill>
    </fill>
    <fill>
      <patternFill patternType="solid">
        <fgColor rgb="FFFF9900"/>
        <bgColor rgb="FFFF9900"/>
      </patternFill>
    </fill>
    <fill>
      <patternFill patternType="solid">
        <fgColor rgb="FFD7E4BD"/>
        <bgColor rgb="FFD7E4BD"/>
      </patternFill>
    </fill>
    <fill>
      <patternFill patternType="solid">
        <fgColor rgb="FFFFFF00"/>
        <bgColor rgb="FFFFFF00"/>
      </patternFill>
    </fill>
    <fill>
      <patternFill patternType="solid">
        <fgColor rgb="FFEBF1DE"/>
        <bgColor rgb="FFEBF1DE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shrinkToFit="0" vertical="center" wrapText="0"/>
    </xf>
    <xf borderId="3" fillId="0" fontId="4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shrinkToFit="0" wrapText="1"/>
    </xf>
    <xf borderId="3" fillId="0" fontId="4" numFmtId="0" xfId="0" applyAlignment="1" applyBorder="1" applyFont="1">
      <alignment shrinkToFit="0" vertical="center" wrapText="0"/>
    </xf>
    <xf borderId="3" fillId="0" fontId="4" numFmtId="0" xfId="0" applyAlignment="1" applyBorder="1" applyFont="1">
      <alignment horizontal="center" readingOrder="0" shrinkToFit="0" vertical="center" wrapText="0"/>
    </xf>
    <xf borderId="3" fillId="0" fontId="4" numFmtId="0" xfId="0" applyAlignment="1" applyBorder="1" applyFont="1">
      <alignment horizontal="right" readingOrder="0" shrinkToFit="0" vertical="center" wrapText="0"/>
    </xf>
    <xf borderId="4" fillId="0" fontId="3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wrapText="1"/>
    </xf>
    <xf borderId="6" fillId="2" fontId="5" numFmtId="0" xfId="0" applyAlignment="1" applyBorder="1" applyFill="1" applyFont="1">
      <alignment horizontal="center" readingOrder="0" shrinkToFit="0" vertical="center" wrapText="0"/>
    </xf>
    <xf borderId="2" fillId="3" fontId="5" numFmtId="0" xfId="0" applyAlignment="1" applyBorder="1" applyFill="1" applyFont="1">
      <alignment horizontal="center" readingOrder="0" shrinkToFit="0" vertical="center" wrapText="0"/>
    </xf>
    <xf borderId="4" fillId="0" fontId="2" numFmtId="0" xfId="0" applyAlignment="1" applyBorder="1" applyFont="1">
      <alignment shrinkToFit="0" wrapText="1"/>
    </xf>
    <xf borderId="6" fillId="2" fontId="5" numFmtId="0" xfId="0" applyAlignment="1" applyBorder="1" applyFont="1">
      <alignment horizontal="center" shrinkToFit="0" vertical="center" wrapText="0"/>
    </xf>
    <xf borderId="5" fillId="0" fontId="3" numFmtId="0" xfId="0" applyAlignment="1" applyBorder="1" applyFont="1">
      <alignment shrinkToFit="0" vertical="center" wrapText="0"/>
    </xf>
    <xf borderId="4" fillId="0" fontId="6" numFmtId="0" xfId="0" applyAlignment="1" applyBorder="1" applyFont="1">
      <alignment horizontal="center" shrinkToFit="0" vertical="center" wrapText="0"/>
    </xf>
    <xf borderId="6" fillId="0" fontId="6" numFmtId="0" xfId="0" applyAlignment="1" applyBorder="1" applyFont="1">
      <alignment horizontal="center" shrinkToFit="0" vertical="center" wrapText="0"/>
    </xf>
    <xf borderId="6" fillId="0" fontId="3" numFmtId="0" xfId="0" applyAlignment="1" applyBorder="1" applyFont="1">
      <alignment shrinkToFit="0" vertical="center" wrapText="0"/>
    </xf>
    <xf borderId="4" fillId="2" fontId="6" numFmtId="0" xfId="0" applyAlignment="1" applyBorder="1" applyFont="1">
      <alignment horizontal="center" readingOrder="0" shrinkToFit="0" vertical="center" wrapText="0"/>
    </xf>
    <xf borderId="6" fillId="2" fontId="6" numFmtId="0" xfId="0" applyAlignment="1" applyBorder="1" applyFont="1">
      <alignment horizontal="center" readingOrder="0" shrinkToFit="0" vertical="center" wrapText="0"/>
    </xf>
    <xf borderId="4" fillId="2" fontId="6" numFmtId="0" xfId="0" applyAlignment="1" applyBorder="1" applyFont="1">
      <alignment horizontal="center" shrinkToFit="0" vertical="center" wrapText="0"/>
    </xf>
    <xf borderId="6" fillId="2" fontId="6" numFmtId="0" xfId="0" applyAlignment="1" applyBorder="1" applyFont="1">
      <alignment horizontal="center" shrinkToFit="0" vertical="center" wrapText="0"/>
    </xf>
    <xf borderId="6" fillId="0" fontId="3" numFmtId="0" xfId="0" applyAlignment="1" applyBorder="1" applyFont="1">
      <alignment horizontal="center" readingOrder="0" shrinkToFit="0" vertical="center" wrapText="0"/>
    </xf>
    <xf borderId="6" fillId="0" fontId="3" numFmtId="1" xfId="0" applyAlignment="1" applyBorder="1" applyFont="1" applyNumberFormat="1">
      <alignment horizontal="center" readingOrder="0" shrinkToFit="0" vertical="center" wrapText="0"/>
    </xf>
    <xf borderId="6" fillId="0" fontId="3" numFmtId="2" xfId="0" applyAlignment="1" applyBorder="1" applyFont="1" applyNumberFormat="1">
      <alignment horizontal="center" readingOrder="0" shrinkToFit="0" vertical="bottom" wrapText="0"/>
    </xf>
    <xf borderId="6" fillId="4" fontId="3" numFmtId="2" xfId="0" applyAlignment="1" applyBorder="1" applyFill="1" applyFont="1" applyNumberFormat="1">
      <alignment horizontal="center" shrinkToFit="0" vertical="center" wrapText="0"/>
    </xf>
    <xf borderId="6" fillId="0" fontId="3" numFmtId="164" xfId="0" applyAlignment="1" applyBorder="1" applyFont="1" applyNumberFormat="1">
      <alignment horizontal="center" readingOrder="0" shrinkToFit="0" vertical="center" wrapText="0"/>
    </xf>
    <xf borderId="6" fillId="0" fontId="7" numFmtId="2" xfId="0" applyAlignment="1" applyBorder="1" applyFont="1" applyNumberFormat="1">
      <alignment horizontal="center" readingOrder="0" shrinkToFit="0" vertical="center" wrapText="0"/>
    </xf>
    <xf borderId="6" fillId="0" fontId="7" numFmtId="165" xfId="0" applyAlignment="1" applyBorder="1" applyFont="1" applyNumberFormat="1">
      <alignment horizontal="center" readingOrder="0" shrinkToFit="0" vertical="center" wrapText="0"/>
    </xf>
    <xf borderId="6" fillId="0" fontId="3" numFmtId="165" xfId="0" applyAlignment="1" applyBorder="1" applyFont="1" applyNumberFormat="1">
      <alignment horizontal="center" readingOrder="0" shrinkToFit="0" vertical="bottom" wrapText="0"/>
    </xf>
    <xf borderId="6" fillId="0" fontId="3" numFmtId="165" xfId="0" applyAlignment="1" applyBorder="1" applyFont="1" applyNumberFormat="1">
      <alignment horizontal="center" readingOrder="0" shrinkToFit="0" vertical="center" wrapText="0"/>
    </xf>
    <xf borderId="6" fillId="4" fontId="3" numFmtId="164" xfId="0" applyAlignment="1" applyBorder="1" applyFont="1" applyNumberFormat="1">
      <alignment horizontal="center" shrinkToFit="0" vertical="center" wrapText="0"/>
    </xf>
    <xf borderId="6" fillId="5" fontId="3" numFmtId="2" xfId="0" applyAlignment="1" applyBorder="1" applyFill="1" applyFont="1" applyNumberFormat="1">
      <alignment horizontal="center" readingOrder="0" shrinkToFit="0" vertical="center" wrapText="0"/>
    </xf>
    <xf borderId="4" fillId="6" fontId="6" numFmtId="0" xfId="0" applyAlignment="1" applyBorder="1" applyFill="1" applyFont="1">
      <alignment horizontal="center" shrinkToFit="0" vertical="center" wrapText="0"/>
    </xf>
    <xf borderId="6" fillId="6" fontId="6" numFmtId="0" xfId="0" applyAlignment="1" applyBorder="1" applyFont="1">
      <alignment horizontal="center" shrinkToFit="0" vertical="center" wrapText="0"/>
    </xf>
    <xf borderId="6" fillId="6" fontId="6" numFmtId="164" xfId="0" applyAlignment="1" applyBorder="1" applyFont="1" applyNumberFormat="1">
      <alignment horizontal="center" shrinkToFit="0" vertical="center" wrapText="0"/>
    </xf>
    <xf borderId="6" fillId="6" fontId="6" numFmtId="2" xfId="0" applyAlignment="1" applyBorder="1" applyFont="1" applyNumberFormat="1">
      <alignment horizontal="center" shrinkToFit="0" vertical="center" wrapText="0"/>
    </xf>
    <xf borderId="6" fillId="6" fontId="6" numFmtId="165" xfId="0" applyAlignment="1" applyBorder="1" applyFont="1" applyNumberFormat="1">
      <alignment horizontal="center" shrinkToFit="0" vertical="center" wrapText="0"/>
    </xf>
    <xf borderId="6" fillId="6" fontId="6" numFmtId="166" xfId="0" applyAlignment="1" applyBorder="1" applyFont="1" applyNumberFormat="1">
      <alignment horizontal="center" shrinkToFit="0" vertical="center" wrapText="0"/>
    </xf>
    <xf borderId="6" fillId="0" fontId="3" numFmtId="2" xfId="0" applyAlignment="1" applyBorder="1" applyFont="1" applyNumberFormat="1">
      <alignment horizontal="center" readingOrder="0" shrinkToFit="0" vertical="center" wrapText="0"/>
    </xf>
    <xf borderId="6" fillId="4" fontId="3" numFmtId="165" xfId="0" applyAlignment="1" applyBorder="1" applyFont="1" applyNumberFormat="1">
      <alignment horizontal="center" shrinkToFit="0" vertical="center" wrapText="0"/>
    </xf>
    <xf borderId="2" fillId="0" fontId="6" numFmtId="2" xfId="0" applyAlignment="1" applyBorder="1" applyFont="1" applyNumberFormat="1">
      <alignment horizontal="center" shrinkToFit="0" vertical="center" wrapText="0"/>
    </xf>
    <xf borderId="6" fillId="5" fontId="3" numFmtId="2" xfId="0" applyAlignment="1" applyBorder="1" applyFont="1" applyNumberFormat="1">
      <alignment horizontal="center" shrinkToFit="0" vertical="center" wrapText="0"/>
    </xf>
    <xf borderId="7" fillId="0" fontId="2" numFmtId="0" xfId="0" applyAlignment="1" applyBorder="1" applyFont="1">
      <alignment shrinkToFit="0" wrapText="1"/>
    </xf>
    <xf borderId="8" fillId="0" fontId="2" numFmtId="0" xfId="0" applyAlignment="1" applyBorder="1" applyFont="1">
      <alignment shrinkToFit="0" wrapText="1"/>
    </xf>
    <xf borderId="6" fillId="2" fontId="5" numFmtId="0" xfId="0" applyAlignment="1" applyBorder="1" applyFont="1">
      <alignment horizontal="center" readingOrder="0" shrinkToFit="0" vertical="center" wrapText="1"/>
    </xf>
    <xf borderId="8" fillId="2" fontId="5" numFmtId="0" xfId="0" applyAlignment="1" applyBorder="1" applyFont="1">
      <alignment horizontal="center" readingOrder="0" shrinkToFit="0" vertical="center" wrapText="1"/>
    </xf>
    <xf borderId="9" fillId="0" fontId="2" numFmtId="0" xfId="0" applyAlignment="1" applyBorder="1" applyFont="1">
      <alignment shrinkToFit="0" wrapText="1"/>
    </xf>
    <xf borderId="8" fillId="0" fontId="3" numFmtId="165" xfId="0" applyAlignment="1" applyBorder="1" applyFont="1" applyNumberFormat="1">
      <alignment horizontal="center" readingOrder="0" shrinkToFit="0" vertical="center" wrapText="0"/>
    </xf>
    <xf borderId="6" fillId="4" fontId="7" numFmtId="165" xfId="0" applyAlignment="1" applyBorder="1" applyFont="1" applyNumberFormat="1">
      <alignment horizontal="center" shrinkToFit="0" vertical="center" wrapText="0"/>
    </xf>
    <xf borderId="6" fillId="7" fontId="3" numFmtId="165" xfId="0" applyAlignment="1" applyBorder="1" applyFill="1" applyFont="1" applyNumberFormat="1">
      <alignment horizontal="center" shrinkToFit="0" vertical="center" wrapText="0"/>
    </xf>
    <xf borderId="6" fillId="7" fontId="3" numFmtId="164" xfId="0" applyAlignment="1" applyBorder="1" applyFont="1" applyNumberFormat="1">
      <alignment horizontal="center" shrinkToFit="0" vertical="bottom" wrapText="0"/>
    </xf>
    <xf borderId="6" fillId="0" fontId="3" numFmtId="165" xfId="0" applyAlignment="1" applyBorder="1" applyFont="1" applyNumberFormat="1">
      <alignment horizontal="center" shrinkToFit="0" vertical="bottom" wrapText="0"/>
    </xf>
    <xf borderId="6" fillId="7" fontId="3" numFmtId="0" xfId="0" applyAlignment="1" applyBorder="1" applyFont="1">
      <alignment shrinkToFit="0" vertical="bottom" wrapText="0"/>
    </xf>
    <xf borderId="9" fillId="0" fontId="3" numFmtId="165" xfId="0" applyAlignment="1" applyBorder="1" applyFont="1" applyNumberFormat="1">
      <alignment horizontal="center" readingOrder="0" shrinkToFit="0" vertical="center" wrapText="0"/>
    </xf>
    <xf borderId="6" fillId="4" fontId="3" numFmtId="165" xfId="0" applyAlignment="1" applyBorder="1" applyFont="1" applyNumberFormat="1">
      <alignment horizontal="center" readingOrder="0" shrinkToFit="0" vertical="center" wrapText="0"/>
    </xf>
    <xf borderId="10" fillId="0" fontId="3" numFmtId="0" xfId="0" applyAlignment="1" applyBorder="1" applyFont="1">
      <alignment shrinkToFit="0" vertical="bottom" wrapText="0"/>
    </xf>
    <xf borderId="4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11" fillId="0" fontId="2" numFmtId="0" xfId="0" applyAlignment="1" applyBorder="1" applyFont="1">
      <alignment shrinkToFit="0" wrapText="1"/>
    </xf>
    <xf borderId="6" fillId="0" fontId="7" numFmtId="0" xfId="0" applyAlignment="1" applyBorder="1" applyFont="1">
      <alignment readingOrder="0" shrinkToFit="0" vertical="center" wrapText="0"/>
    </xf>
    <xf borderId="6" fillId="0" fontId="7" numFmtId="2" xfId="0" applyAlignment="1" applyBorder="1" applyFont="1" applyNumberFormat="1">
      <alignment horizontal="center" shrinkToFit="0" vertical="center" wrapText="0"/>
    </xf>
    <xf borderId="8" fillId="0" fontId="3" numFmtId="0" xfId="0" applyAlignment="1" applyBorder="1" applyFont="1">
      <alignment readingOrder="0" shrinkToFit="0" vertical="center" wrapText="0"/>
    </xf>
    <xf borderId="12" fillId="0" fontId="2" numFmtId="0" xfId="0" applyAlignment="1" applyBorder="1" applyFont="1">
      <alignment shrinkToFit="0" wrapText="1"/>
    </xf>
    <xf borderId="6" fillId="8" fontId="3" numFmtId="0" xfId="0" applyAlignment="1" applyBorder="1" applyFill="1" applyFont="1">
      <alignment horizontal="left" readingOrder="0" shrinkToFit="0" vertical="center" wrapText="0"/>
    </xf>
    <xf borderId="2" fillId="8" fontId="3" numFmtId="0" xfId="0" applyAlignment="1" applyBorder="1" applyFont="1">
      <alignment horizontal="left" shrinkToFit="0" vertical="center" wrapText="0"/>
    </xf>
    <xf borderId="6" fillId="8" fontId="3" numFmtId="0" xfId="0" applyAlignment="1" applyBorder="1" applyFont="1">
      <alignment readingOrder="0" shrinkToFit="0" vertical="center" wrapText="0"/>
    </xf>
    <xf borderId="2" fillId="8" fontId="3" numFmtId="0" xfId="0" applyAlignment="1" applyBorder="1" applyFont="1">
      <alignment horizontal="center" shrinkToFit="0" vertical="center" wrapText="0"/>
    </xf>
    <xf borderId="9" fillId="0" fontId="3" numFmtId="0" xfId="0" applyAlignment="1" applyBorder="1" applyFont="1">
      <alignment shrinkToFit="0" vertical="center" wrapText="0"/>
    </xf>
    <xf borderId="2" fillId="0" fontId="7" numFmtId="0" xfId="0" applyAlignment="1" applyBorder="1" applyFont="1">
      <alignment horizontal="center" readingOrder="0" shrinkToFit="0" vertical="center" wrapText="0"/>
    </xf>
    <xf borderId="6" fillId="8" fontId="3" numFmtId="1" xfId="0" applyAlignment="1" applyBorder="1" applyFont="1" applyNumberFormat="1">
      <alignment horizontal="left" readingOrder="0" shrinkToFit="0" vertical="center" wrapText="0"/>
    </xf>
    <xf borderId="8" fillId="8" fontId="7" numFmtId="1" xfId="0" applyAlignment="1" applyBorder="1" applyFont="1" applyNumberFormat="1">
      <alignment readingOrder="0" shrinkToFit="0" vertical="center" wrapText="1"/>
    </xf>
    <xf borderId="10" fillId="8" fontId="5" numFmtId="0" xfId="0" applyAlignment="1" applyBorder="1" applyFont="1">
      <alignment horizontal="center" readingOrder="0" shrinkToFit="0" vertical="center" wrapText="1"/>
    </xf>
    <xf borderId="13" fillId="0" fontId="2" numFmtId="0" xfId="0" applyAlignment="1" applyBorder="1" applyFont="1">
      <alignment shrinkToFit="0" wrapText="1"/>
    </xf>
    <xf borderId="10" fillId="0" fontId="2" numFmtId="0" xfId="0" applyAlignment="1" applyBorder="1" applyFont="1">
      <alignment shrinkToFit="0" wrapText="1"/>
    </xf>
    <xf borderId="12" fillId="0" fontId="3" numFmtId="0" xfId="0" applyAlignment="1" applyBorder="1" applyFont="1">
      <alignment shrinkToFit="0" vertical="bottom" wrapText="0"/>
    </xf>
    <xf borderId="14" fillId="0" fontId="3" numFmtId="0" xfId="0" applyAlignment="1" applyBorder="1" applyFont="1">
      <alignment shrinkToFit="0" vertical="bottom" wrapText="0"/>
    </xf>
    <xf borderId="6" fillId="0" fontId="7" numFmtId="164" xfId="0" applyAlignment="1" applyBorder="1" applyFont="1" applyNumberFormat="1">
      <alignment horizontal="center" readingOrder="0" shrinkToFit="0" vertical="center" wrapText="0"/>
    </xf>
    <xf borderId="15" fillId="0" fontId="3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shrinkToFit="0" vertical="bottom" wrapText="0"/>
    </xf>
    <xf borderId="14" fillId="0" fontId="2" numFmtId="0" xfId="0" applyAlignment="1" applyBorder="1" applyFont="1">
      <alignment shrinkToFit="0" wrapText="1"/>
    </xf>
    <xf borderId="2" fillId="0" fontId="3" numFmtId="0" xfId="0" applyAlignment="1" applyBorder="1" applyFont="1">
      <alignment horizontal="left" readingOrder="0" shrinkToFit="0" vertical="bottom" wrapText="0"/>
    </xf>
    <xf borderId="6" fillId="0" fontId="3" numFmtId="0" xfId="0" applyAlignment="1" applyBorder="1" applyFont="1">
      <alignment horizontal="right" readingOrder="0" shrinkToFit="0" vertical="bottom" wrapText="0"/>
    </xf>
    <xf borderId="6" fillId="9" fontId="3" numFmtId="0" xfId="0" applyAlignment="1" applyBorder="1" applyFill="1" applyFont="1">
      <alignment horizontal="right" shrinkToFit="0" vertical="bottom" wrapText="0"/>
    </xf>
    <xf borderId="1" fillId="0" fontId="8" numFmtId="0" xfId="0" applyAlignment="1" applyBorder="1" applyFont="1">
      <alignment horizontal="center" readingOrder="0" shrinkToFit="0" vertical="bottom" wrapText="0"/>
    </xf>
    <xf borderId="0" fillId="0" fontId="3" numFmtId="2" xfId="0" applyAlignment="1" applyFont="1" applyNumberFormat="1">
      <alignment shrinkToFit="0" vertical="bottom" wrapText="0"/>
    </xf>
    <xf borderId="6" fillId="3" fontId="5" numFmtId="0" xfId="0" applyAlignment="1" applyBorder="1" applyFont="1">
      <alignment horizontal="center" readingOrder="0" shrinkToFit="0" vertical="center" wrapText="0"/>
    </xf>
    <xf borderId="2" fillId="3" fontId="9" numFmtId="0" xfId="0" applyAlignment="1" applyBorder="1" applyFont="1">
      <alignment horizontal="center" readingOrder="0" shrinkToFit="0" vertical="bottom" wrapText="1"/>
    </xf>
    <xf borderId="6" fillId="3" fontId="5" numFmtId="0" xfId="0" applyAlignment="1" applyBorder="1" applyFont="1">
      <alignment horizontal="center" shrinkToFit="0" vertical="center" wrapText="0"/>
    </xf>
    <xf borderId="2" fillId="3" fontId="10" numFmtId="0" xfId="0" applyAlignment="1" applyBorder="1" applyFont="1">
      <alignment horizontal="center" readingOrder="0" shrinkToFit="0" vertical="bottom" wrapText="0"/>
    </xf>
    <xf borderId="6" fillId="0" fontId="3" numFmtId="1" xfId="0" applyAlignment="1" applyBorder="1" applyFont="1" applyNumberFormat="1">
      <alignment horizontal="center" shrinkToFit="0" vertical="bottom" wrapText="0"/>
    </xf>
    <xf borderId="2" fillId="0" fontId="3" numFmtId="165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2.75"/>
  <cols>
    <col customWidth="1" min="1" max="4" width="9.29"/>
    <col customWidth="1" min="5" max="5" width="14.0"/>
    <col customWidth="1" min="6" max="34" width="9.29"/>
    <col customWidth="1" min="35" max="35" width="13.57"/>
    <col customWidth="1" min="36" max="41" width="9.29"/>
  </cols>
  <sheetData>
    <row r="1" ht="21.75" customHeight="1">
      <c r="A1" s="1" t="s">
        <v>0</v>
      </c>
      <c r="B1" s="2"/>
      <c r="C1" s="2"/>
      <c r="D1" s="2"/>
      <c r="E1" s="1" t="s">
        <v>1</v>
      </c>
      <c r="F1" s="2"/>
      <c r="G1" s="2"/>
      <c r="H1" s="2"/>
      <c r="I1" s="2"/>
      <c r="J1" s="2"/>
      <c r="K1" s="3" t="s">
        <v>2</v>
      </c>
      <c r="L1" s="2"/>
      <c r="M1" s="3">
        <v>10000.0</v>
      </c>
      <c r="N1" s="3">
        <v>994.0</v>
      </c>
      <c r="O1" s="2"/>
      <c r="P1" s="2"/>
      <c r="Q1" s="2"/>
      <c r="R1" s="2"/>
      <c r="S1" s="2"/>
      <c r="T1" s="2"/>
      <c r="U1" s="2"/>
      <c r="V1" s="2"/>
      <c r="W1" s="2"/>
      <c r="X1" s="2"/>
    </row>
    <row r="2" ht="15.75" customHeight="1">
      <c r="A2" s="4"/>
      <c r="B2" s="5" t="s">
        <v>3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  <c r="Q2" s="8" t="s">
        <v>4</v>
      </c>
      <c r="R2" s="5" t="s">
        <v>5</v>
      </c>
      <c r="S2" s="6"/>
      <c r="T2" s="6"/>
      <c r="U2" s="9" t="s">
        <v>6</v>
      </c>
      <c r="V2" s="6"/>
      <c r="W2" s="5">
        <v>2.0</v>
      </c>
      <c r="X2" s="10"/>
      <c r="Y2" s="1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ht="15.0" customHeight="1">
      <c r="A3" s="12" t="s">
        <v>7</v>
      </c>
      <c r="B3" s="12" t="s">
        <v>8</v>
      </c>
      <c r="C3" s="12" t="s">
        <v>9</v>
      </c>
      <c r="D3" s="12" t="s">
        <v>10</v>
      </c>
      <c r="E3" s="12" t="s">
        <v>11</v>
      </c>
      <c r="F3" s="12" t="s">
        <v>12</v>
      </c>
      <c r="G3" s="12" t="s">
        <v>13</v>
      </c>
      <c r="H3" s="12" t="s">
        <v>14</v>
      </c>
      <c r="I3" s="12" t="s">
        <v>15</v>
      </c>
      <c r="J3" s="12" t="s">
        <v>16</v>
      </c>
      <c r="K3" s="12" t="s">
        <v>17</v>
      </c>
      <c r="L3" s="12" t="s">
        <v>18</v>
      </c>
      <c r="M3" s="12" t="s">
        <v>19</v>
      </c>
      <c r="N3" s="12" t="s">
        <v>20</v>
      </c>
      <c r="O3" s="12" t="s">
        <v>21</v>
      </c>
      <c r="P3" s="12" t="s">
        <v>22</v>
      </c>
      <c r="Q3" s="13" t="s">
        <v>23</v>
      </c>
      <c r="R3" s="6"/>
      <c r="S3" s="14"/>
      <c r="T3" s="15"/>
      <c r="U3" s="12" t="s">
        <v>24</v>
      </c>
      <c r="V3" s="12" t="s">
        <v>24</v>
      </c>
      <c r="W3" s="12" t="s">
        <v>24</v>
      </c>
      <c r="X3" s="12" t="s">
        <v>24</v>
      </c>
      <c r="Y3" s="16"/>
      <c r="Z3" s="17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9"/>
      <c r="AL3" s="19"/>
      <c r="AM3" s="19"/>
      <c r="AN3" s="19"/>
      <c r="AO3" s="19"/>
    </row>
    <row r="4" ht="15.0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2" t="s">
        <v>25</v>
      </c>
      <c r="M4" s="12" t="s">
        <v>26</v>
      </c>
      <c r="N4" s="12" t="s">
        <v>25</v>
      </c>
      <c r="O4" s="12" t="s">
        <v>27</v>
      </c>
      <c r="P4" s="12" t="s">
        <v>27</v>
      </c>
      <c r="Q4" s="12" t="s">
        <v>18</v>
      </c>
      <c r="R4" s="12" t="s">
        <v>19</v>
      </c>
      <c r="S4" s="12" t="s">
        <v>20</v>
      </c>
      <c r="T4" s="12" t="s">
        <v>28</v>
      </c>
      <c r="U4" s="12" t="s">
        <v>29</v>
      </c>
      <c r="V4" s="12" t="s">
        <v>29</v>
      </c>
      <c r="W4" s="12" t="s">
        <v>29</v>
      </c>
      <c r="X4" s="12" t="s">
        <v>29</v>
      </c>
      <c r="Y4" s="16"/>
      <c r="Z4" s="20" t="s">
        <v>30</v>
      </c>
      <c r="AA4" s="21" t="s">
        <v>31</v>
      </c>
      <c r="AB4" s="21" t="s">
        <v>32</v>
      </c>
      <c r="AC4" s="21" t="s">
        <v>33</v>
      </c>
      <c r="AD4" s="21" t="s">
        <v>15</v>
      </c>
      <c r="AE4" s="21" t="s">
        <v>17</v>
      </c>
      <c r="AF4" s="21" t="s">
        <v>34</v>
      </c>
      <c r="AG4" s="21" t="s">
        <v>35</v>
      </c>
      <c r="AH4" s="21" t="s">
        <v>36</v>
      </c>
      <c r="AI4" s="21" t="s">
        <v>37</v>
      </c>
      <c r="AJ4" s="21" t="s">
        <v>38</v>
      </c>
      <c r="AK4" s="21" t="s">
        <v>34</v>
      </c>
      <c r="AL4" s="21" t="s">
        <v>15</v>
      </c>
      <c r="AM4" s="21" t="s">
        <v>39</v>
      </c>
      <c r="AN4" s="21" t="s">
        <v>40</v>
      </c>
      <c r="AO4" s="21" t="s">
        <v>40</v>
      </c>
    </row>
    <row r="5" ht="15.0" customHeight="1">
      <c r="A5" s="15"/>
      <c r="B5" s="12" t="s">
        <v>41</v>
      </c>
      <c r="C5" s="12" t="s">
        <v>42</v>
      </c>
      <c r="D5" s="12" t="s">
        <v>43</v>
      </c>
      <c r="E5" s="12" t="s">
        <v>44</v>
      </c>
      <c r="F5" s="12" t="s">
        <v>45</v>
      </c>
      <c r="G5" s="12" t="s">
        <v>46</v>
      </c>
      <c r="H5" s="12" t="s">
        <v>46</v>
      </c>
      <c r="I5" s="12" t="s">
        <v>47</v>
      </c>
      <c r="J5" s="12" t="s">
        <v>48</v>
      </c>
      <c r="K5" s="12" t="s">
        <v>49</v>
      </c>
      <c r="L5" s="12" t="s">
        <v>50</v>
      </c>
      <c r="M5" s="12" t="s">
        <v>50</v>
      </c>
      <c r="N5" s="12" t="s">
        <v>50</v>
      </c>
      <c r="O5" s="15"/>
      <c r="P5" s="15"/>
      <c r="Q5" s="13" t="s">
        <v>51</v>
      </c>
      <c r="R5" s="6"/>
      <c r="S5" s="14"/>
      <c r="T5" s="15"/>
      <c r="U5" s="12" t="s">
        <v>18</v>
      </c>
      <c r="V5" s="12" t="s">
        <v>19</v>
      </c>
      <c r="W5" s="12" t="s">
        <v>20</v>
      </c>
      <c r="X5" s="12" t="s">
        <v>11</v>
      </c>
      <c r="Y5" s="16"/>
      <c r="Z5" s="22"/>
      <c r="AA5" s="23"/>
      <c r="AB5" s="23"/>
      <c r="AC5" s="23"/>
      <c r="AD5" s="23"/>
      <c r="AE5" s="23"/>
      <c r="AF5" s="23"/>
      <c r="AG5" s="23"/>
      <c r="AH5" s="21" t="s">
        <v>26</v>
      </c>
      <c r="AI5" s="23"/>
      <c r="AJ5" s="23"/>
      <c r="AK5" s="23"/>
      <c r="AL5" s="23"/>
      <c r="AM5" s="21" t="s">
        <v>52</v>
      </c>
      <c r="AN5" s="21" t="s">
        <v>53</v>
      </c>
      <c r="AO5" s="21" t="s">
        <v>49</v>
      </c>
    </row>
    <row r="6" ht="15.0" customHeight="1">
      <c r="A6" s="24">
        <v>1.0</v>
      </c>
      <c r="B6" s="25">
        <v>2200.0</v>
      </c>
      <c r="C6" s="26">
        <v>259.5</v>
      </c>
      <c r="D6" s="27">
        <f t="shared" ref="D6:D13" si="1">C6*9549.305/$M$1</f>
        <v>247.8044648</v>
      </c>
      <c r="E6" s="27">
        <f t="shared" ref="E6:E13" si="2">B6*D6/9549.305</f>
        <v>57.09</v>
      </c>
      <c r="F6" s="28">
        <v>0.223</v>
      </c>
      <c r="G6" s="29">
        <v>13.44</v>
      </c>
      <c r="H6" s="30">
        <v>387.5</v>
      </c>
      <c r="I6" s="31">
        <v>39.4</v>
      </c>
      <c r="J6" s="31">
        <v>24.4</v>
      </c>
      <c r="K6" s="26">
        <v>99.9466666666667</v>
      </c>
      <c r="L6" s="30">
        <v>994.0</v>
      </c>
      <c r="M6" s="32">
        <v>700.0</v>
      </c>
      <c r="N6" s="30">
        <v>37.83</v>
      </c>
      <c r="O6" s="33">
        <f t="shared" ref="O6:O13" si="3">1/AB6</f>
        <v>0.9611313645</v>
      </c>
      <c r="P6" s="33">
        <f t="shared" ref="P6:P13" si="4">AC6</f>
        <v>0.9353530168</v>
      </c>
      <c r="Q6" s="27">
        <f t="shared" ref="Q6:Q13" si="5">0.001587*L6*(H6+G6)*O6</f>
        <v>607.8906268</v>
      </c>
      <c r="R6" s="27">
        <f t="shared" ref="R6:R13" si="6">0.000966*M6*(H6+G6)*P6</f>
        <v>253.5888206</v>
      </c>
      <c r="S6" s="27">
        <f t="shared" ref="S6:S13" si="7">0.000478*N6*(H6+G6)</f>
        <v>7.250093776</v>
      </c>
      <c r="T6" s="34">
        <v>0.15</v>
      </c>
      <c r="U6" s="27">
        <f t="shared" ref="U6:U13" si="8">T6*Q6</f>
        <v>91.18359402</v>
      </c>
      <c r="V6" s="27">
        <f t="shared" ref="V6:V13" si="9">R6*T6</f>
        <v>38.03832308</v>
      </c>
      <c r="W6" s="27">
        <f t="shared" ref="W6:W13" si="10">S6*T6</f>
        <v>1.087514066</v>
      </c>
      <c r="X6" s="27">
        <f t="shared" ref="X6:X13" si="11">E6*T6</f>
        <v>8.5635</v>
      </c>
      <c r="Y6" s="16">
        <f t="shared" ref="Y6:Y13" si="12">U6/X6</f>
        <v>10.64793531</v>
      </c>
      <c r="Z6" s="35">
        <f t="shared" ref="Z6:Z13" si="13">0.044*(G6/AH6)-0.0038</f>
        <v>-0.00226245013</v>
      </c>
      <c r="AA6" s="36">
        <f t="shared" ref="AA6:AA13" si="14">(-0.116)*(G6/AH6)+0.0053</f>
        <v>0.001246459433</v>
      </c>
      <c r="AB6" s="36">
        <f t="shared" ref="AB6:AB13" si="15">1+Z6*(7*AF6-75)+AA6*1.8*(AG6-302)</f>
        <v>1.040440503</v>
      </c>
      <c r="AC6" s="37">
        <f t="shared" ref="AC6:AC13" si="16">(1-1.85*(G6/AH6))</f>
        <v>0.9353530168</v>
      </c>
      <c r="AD6" s="38">
        <f t="shared" ref="AD6:AD13" si="17">I6</f>
        <v>39.4</v>
      </c>
      <c r="AE6" s="39">
        <f t="shared" ref="AE6:AE13" si="18">K6</f>
        <v>99.94666667</v>
      </c>
      <c r="AF6" s="38">
        <f t="shared" ref="AF6:AF13" si="19">(6.211*AD6*AJ6)/(AE6-AI6)</f>
        <v>7.509088826</v>
      </c>
      <c r="AG6" s="39">
        <f t="shared" ref="AG6:AG13" si="20">J6+273</f>
        <v>297.4</v>
      </c>
      <c r="AH6" s="39">
        <f t="shared" ref="AH6:AH13" si="21">H6/(1+AF6*0.001)</f>
        <v>384.611915</v>
      </c>
      <c r="AI6" s="40">
        <f t="shared" ref="AI6:AI13" si="22">AJ6*AD6/100</f>
        <v>1.1939191</v>
      </c>
      <c r="AJ6" s="36">
        <f t="shared" ref="AJ6:AJ13" si="23">EXP((-5800.2206/AG6)+(1.3914993)-(0.048640239*AG6)+(0.000041764768*AG6*AG6)-(0.000000014452093*AG6*AG6*AG6)+(6.5459673*LN(AG6)))/1000</f>
        <v>3.030251524</v>
      </c>
      <c r="AK6" s="41">
        <v>5.85</v>
      </c>
      <c r="AL6" s="42">
        <f t="shared" ref="AL6:AL13" si="24">(AK6*AE6)/(6.211*AJ6+(AK6*AJ6/100))</f>
        <v>30.77602992</v>
      </c>
      <c r="AM6" s="38">
        <f t="shared" ref="AM6:AM13" si="25">(K6*1000)/(287*(J6+273))</f>
        <v>1.17096915</v>
      </c>
      <c r="AN6" s="32">
        <v>750.0</v>
      </c>
      <c r="AO6" s="42">
        <f t="shared" ref="AO6:AO13" si="26">AN6*100/750</f>
        <v>100</v>
      </c>
    </row>
    <row r="7" ht="15.0" customHeight="1">
      <c r="A7" s="24">
        <v>2.0</v>
      </c>
      <c r="B7" s="25">
        <v>2200.0</v>
      </c>
      <c r="C7" s="26">
        <v>195.0</v>
      </c>
      <c r="D7" s="27">
        <f t="shared" si="1"/>
        <v>186.2114475</v>
      </c>
      <c r="E7" s="27">
        <f t="shared" si="2"/>
        <v>42.9</v>
      </c>
      <c r="F7" s="28" t="s">
        <v>54</v>
      </c>
      <c r="G7" s="41">
        <v>10.36</v>
      </c>
      <c r="H7" s="32">
        <v>348.8</v>
      </c>
      <c r="I7" s="31">
        <v>38.5</v>
      </c>
      <c r="J7" s="31">
        <v>24.7</v>
      </c>
      <c r="K7" s="26">
        <v>99.9466666666667</v>
      </c>
      <c r="L7" s="32">
        <v>897.0</v>
      </c>
      <c r="M7" s="32">
        <v>324.7</v>
      </c>
      <c r="N7" s="32">
        <v>55.8</v>
      </c>
      <c r="O7" s="33">
        <f t="shared" si="3"/>
        <v>0.9594721994</v>
      </c>
      <c r="P7" s="33">
        <f t="shared" si="4"/>
        <v>0.9446411345</v>
      </c>
      <c r="Q7" s="27">
        <f t="shared" si="5"/>
        <v>490.5572836</v>
      </c>
      <c r="R7" s="27">
        <f t="shared" si="6"/>
        <v>106.4177889</v>
      </c>
      <c r="S7" s="27">
        <f t="shared" si="7"/>
        <v>9.579659184</v>
      </c>
      <c r="T7" s="34">
        <v>0.15</v>
      </c>
      <c r="U7" s="27">
        <f t="shared" si="8"/>
        <v>73.58359254</v>
      </c>
      <c r="V7" s="27">
        <f t="shared" si="9"/>
        <v>15.96266833</v>
      </c>
      <c r="W7" s="27">
        <f t="shared" si="10"/>
        <v>1.436948878</v>
      </c>
      <c r="X7" s="27">
        <f t="shared" si="11"/>
        <v>6.435</v>
      </c>
      <c r="Y7" s="16">
        <f t="shared" si="12"/>
        <v>11.43490171</v>
      </c>
      <c r="Z7" s="35">
        <f t="shared" si="13"/>
        <v>-0.002483356713</v>
      </c>
      <c r="AA7" s="36">
        <f t="shared" si="14"/>
        <v>0.001828849515</v>
      </c>
      <c r="AB7" s="36">
        <f t="shared" si="15"/>
        <v>1.042239682</v>
      </c>
      <c r="AC7" s="37">
        <f t="shared" si="16"/>
        <v>0.9446411345</v>
      </c>
      <c r="AD7" s="38">
        <f t="shared" si="17"/>
        <v>38.5</v>
      </c>
      <c r="AE7" s="39">
        <f t="shared" si="18"/>
        <v>99.94666667</v>
      </c>
      <c r="AF7" s="38">
        <f t="shared" si="19"/>
        <v>7.47011814</v>
      </c>
      <c r="AG7" s="39">
        <f t="shared" si="20"/>
        <v>297.7</v>
      </c>
      <c r="AH7" s="39">
        <f t="shared" si="21"/>
        <v>346.2137424</v>
      </c>
      <c r="AI7" s="40">
        <f t="shared" si="22"/>
        <v>1.187796534</v>
      </c>
      <c r="AJ7" s="36">
        <f t="shared" si="23"/>
        <v>3.085185803</v>
      </c>
      <c r="AK7" s="41">
        <v>6.01</v>
      </c>
      <c r="AL7" s="42">
        <f t="shared" si="24"/>
        <v>31.04686378</v>
      </c>
      <c r="AM7" s="38">
        <f t="shared" si="25"/>
        <v>1.169789134</v>
      </c>
      <c r="AN7" s="32">
        <v>750.0</v>
      </c>
      <c r="AO7" s="42">
        <f t="shared" si="26"/>
        <v>100</v>
      </c>
    </row>
    <row r="8" ht="15.0" customHeight="1">
      <c r="A8" s="24">
        <v>3.0</v>
      </c>
      <c r="B8" s="25">
        <v>2200.0</v>
      </c>
      <c r="C8" s="26">
        <v>129.9</v>
      </c>
      <c r="D8" s="27">
        <f t="shared" si="1"/>
        <v>124.045472</v>
      </c>
      <c r="E8" s="27">
        <f t="shared" si="2"/>
        <v>28.578</v>
      </c>
      <c r="F8" s="28">
        <v>0.23</v>
      </c>
      <c r="G8" s="41">
        <v>7.42</v>
      </c>
      <c r="H8" s="32">
        <v>309.8</v>
      </c>
      <c r="I8" s="31">
        <v>38.0</v>
      </c>
      <c r="J8" s="31">
        <v>24.9</v>
      </c>
      <c r="K8" s="26">
        <v>99.9333333333333</v>
      </c>
      <c r="L8" s="32">
        <v>759.8</v>
      </c>
      <c r="M8" s="32">
        <v>86.34</v>
      </c>
      <c r="N8" s="32">
        <v>57.5</v>
      </c>
      <c r="O8" s="33">
        <f t="shared" si="3"/>
        <v>0.9579738358</v>
      </c>
      <c r="P8" s="33">
        <f t="shared" si="4"/>
        <v>0.9553601025</v>
      </c>
      <c r="Q8" s="27">
        <f t="shared" si="5"/>
        <v>366.4294954</v>
      </c>
      <c r="R8" s="27">
        <f t="shared" si="6"/>
        <v>25.27649385</v>
      </c>
      <c r="S8" s="27">
        <f t="shared" si="7"/>
        <v>8.7187917</v>
      </c>
      <c r="T8" s="34">
        <v>0.15</v>
      </c>
      <c r="U8" s="27">
        <f t="shared" si="8"/>
        <v>54.96442431</v>
      </c>
      <c r="V8" s="27">
        <f t="shared" si="9"/>
        <v>3.791474077</v>
      </c>
      <c r="W8" s="27">
        <f t="shared" si="10"/>
        <v>1.307818755</v>
      </c>
      <c r="X8" s="27">
        <f t="shared" si="11"/>
        <v>4.2867</v>
      </c>
      <c r="Y8" s="16">
        <f t="shared" si="12"/>
        <v>12.82208326</v>
      </c>
      <c r="Z8" s="35">
        <f t="shared" si="13"/>
        <v>-0.002738294329</v>
      </c>
      <c r="AA8" s="36">
        <f t="shared" si="14"/>
        <v>0.002500957777</v>
      </c>
      <c r="AB8" s="36">
        <f t="shared" si="15"/>
        <v>1.043869846</v>
      </c>
      <c r="AC8" s="37">
        <f t="shared" si="16"/>
        <v>0.9553601025</v>
      </c>
      <c r="AD8" s="38">
        <f t="shared" si="17"/>
        <v>38</v>
      </c>
      <c r="AE8" s="39">
        <f t="shared" si="18"/>
        <v>99.93333333</v>
      </c>
      <c r="AF8" s="38">
        <f t="shared" si="19"/>
        <v>7.462683157</v>
      </c>
      <c r="AG8" s="39">
        <f t="shared" si="20"/>
        <v>297.9</v>
      </c>
      <c r="AH8" s="39">
        <f t="shared" si="21"/>
        <v>307.5051862</v>
      </c>
      <c r="AI8" s="40">
        <f t="shared" si="22"/>
        <v>1.186470059</v>
      </c>
      <c r="AJ8" s="36">
        <f t="shared" si="23"/>
        <v>3.122289628</v>
      </c>
      <c r="AK8" s="41">
        <v>5.99</v>
      </c>
      <c r="AL8" s="42">
        <f t="shared" si="24"/>
        <v>30.57272392</v>
      </c>
      <c r="AM8" s="38">
        <f t="shared" si="25"/>
        <v>1.168847827</v>
      </c>
      <c r="AN8" s="32">
        <v>750.0</v>
      </c>
      <c r="AO8" s="42">
        <f t="shared" si="26"/>
        <v>100</v>
      </c>
    </row>
    <row r="9" ht="15.0" customHeight="1">
      <c r="A9" s="24">
        <v>4.0</v>
      </c>
      <c r="B9" s="25">
        <v>2200.0</v>
      </c>
      <c r="C9" s="26">
        <v>23.0</v>
      </c>
      <c r="D9" s="27">
        <f t="shared" si="1"/>
        <v>21.9634015</v>
      </c>
      <c r="E9" s="27">
        <f t="shared" si="2"/>
        <v>5.06</v>
      </c>
      <c r="F9" s="28" t="s">
        <v>54</v>
      </c>
      <c r="G9" s="41">
        <v>3.33</v>
      </c>
      <c r="H9" s="32">
        <v>269.3</v>
      </c>
      <c r="I9" s="31">
        <v>38.2</v>
      </c>
      <c r="J9" s="31">
        <v>25.1</v>
      </c>
      <c r="K9" s="26">
        <v>99.9333333333333</v>
      </c>
      <c r="L9" s="32">
        <v>360.1</v>
      </c>
      <c r="M9" s="32">
        <v>127.4</v>
      </c>
      <c r="N9" s="32">
        <v>79.9</v>
      </c>
      <c r="O9" s="33">
        <f t="shared" si="3"/>
        <v>0.9578782699</v>
      </c>
      <c r="P9" s="33">
        <f t="shared" si="4"/>
        <v>0.9769503137</v>
      </c>
      <c r="Q9" s="27">
        <f t="shared" si="5"/>
        <v>149.2395782</v>
      </c>
      <c r="R9" s="27">
        <f t="shared" si="6"/>
        <v>32.77877164</v>
      </c>
      <c r="S9" s="27">
        <f t="shared" si="7"/>
        <v>10.41233949</v>
      </c>
      <c r="T9" s="34">
        <v>0.1</v>
      </c>
      <c r="U9" s="27">
        <f t="shared" si="8"/>
        <v>14.92395782</v>
      </c>
      <c r="V9" s="27">
        <f t="shared" si="9"/>
        <v>3.277877164</v>
      </c>
      <c r="W9" s="27">
        <f t="shared" si="10"/>
        <v>1.041233949</v>
      </c>
      <c r="X9" s="27">
        <f t="shared" si="11"/>
        <v>0.506</v>
      </c>
      <c r="Y9" s="16">
        <f t="shared" si="12"/>
        <v>29.49398778</v>
      </c>
      <c r="Z9" s="35">
        <f t="shared" si="13"/>
        <v>-0.003251791244</v>
      </c>
      <c r="AA9" s="36">
        <f t="shared" si="14"/>
        <v>0.00385472237</v>
      </c>
      <c r="AB9" s="36">
        <f t="shared" si="15"/>
        <v>1.043973991</v>
      </c>
      <c r="AC9" s="37">
        <f t="shared" si="16"/>
        <v>0.9769503137</v>
      </c>
      <c r="AD9" s="38">
        <f t="shared" si="17"/>
        <v>38.2</v>
      </c>
      <c r="AE9" s="39">
        <f t="shared" si="18"/>
        <v>99.93333333</v>
      </c>
      <c r="AF9" s="38">
        <f t="shared" si="19"/>
        <v>7.593625818</v>
      </c>
      <c r="AG9" s="39">
        <f t="shared" si="20"/>
        <v>298.1</v>
      </c>
      <c r="AH9" s="39">
        <f t="shared" si="21"/>
        <v>267.2704482</v>
      </c>
      <c r="AI9" s="40">
        <f t="shared" si="22"/>
        <v>1.207036796</v>
      </c>
      <c r="AJ9" s="36">
        <f t="shared" si="23"/>
        <v>3.15978219</v>
      </c>
      <c r="AK9" s="41">
        <v>5.91</v>
      </c>
      <c r="AL9" s="42">
        <f t="shared" si="24"/>
        <v>29.81029272</v>
      </c>
      <c r="AM9" s="38">
        <f t="shared" si="25"/>
        <v>1.168063629</v>
      </c>
      <c r="AN9" s="32">
        <v>750.0</v>
      </c>
      <c r="AO9" s="42">
        <f t="shared" si="26"/>
        <v>100</v>
      </c>
    </row>
    <row r="10" ht="15.0" customHeight="1">
      <c r="A10" s="24">
        <v>5.0</v>
      </c>
      <c r="B10" s="25">
        <v>1400.0</v>
      </c>
      <c r="C10" s="26">
        <v>312.6</v>
      </c>
      <c r="D10" s="27">
        <f t="shared" si="1"/>
        <v>298.5112743</v>
      </c>
      <c r="E10" s="27">
        <f t="shared" si="2"/>
        <v>43.764</v>
      </c>
      <c r="F10" s="28">
        <v>0.58</v>
      </c>
      <c r="G10" s="29">
        <v>9.55</v>
      </c>
      <c r="H10" s="30">
        <v>193.1</v>
      </c>
      <c r="I10" s="31">
        <v>38.8</v>
      </c>
      <c r="J10" s="31">
        <v>25.4</v>
      </c>
      <c r="K10" s="26">
        <v>99.9333333333333</v>
      </c>
      <c r="L10" s="30">
        <v>1681.55</v>
      </c>
      <c r="M10" s="32">
        <v>161.5</v>
      </c>
      <c r="N10" s="30">
        <v>76.15</v>
      </c>
      <c r="O10" s="33">
        <f t="shared" si="3"/>
        <v>0.9659210131</v>
      </c>
      <c r="P10" s="33">
        <f t="shared" si="4"/>
        <v>0.9077872479</v>
      </c>
      <c r="Q10" s="27">
        <f t="shared" si="5"/>
        <v>522.3660392</v>
      </c>
      <c r="R10" s="27">
        <f t="shared" si="6"/>
        <v>28.69989705</v>
      </c>
      <c r="S10" s="27">
        <f t="shared" si="7"/>
        <v>7.376399205</v>
      </c>
      <c r="T10" s="34">
        <v>0.1</v>
      </c>
      <c r="U10" s="27">
        <f t="shared" si="8"/>
        <v>52.23660392</v>
      </c>
      <c r="V10" s="27">
        <f t="shared" si="9"/>
        <v>2.869989705</v>
      </c>
      <c r="W10" s="27">
        <f t="shared" si="10"/>
        <v>0.7376399205</v>
      </c>
      <c r="X10" s="27">
        <f t="shared" si="11"/>
        <v>4.3764</v>
      </c>
      <c r="Y10" s="16">
        <f t="shared" si="12"/>
        <v>11.93597567</v>
      </c>
      <c r="Z10" s="35">
        <f t="shared" si="13"/>
        <v>-0.001606831842</v>
      </c>
      <c r="AA10" s="36">
        <f t="shared" si="14"/>
        <v>-0.0004819887814</v>
      </c>
      <c r="AB10" s="36">
        <f t="shared" si="15"/>
        <v>1.035281339</v>
      </c>
      <c r="AC10" s="37">
        <f t="shared" si="16"/>
        <v>0.9077872479</v>
      </c>
      <c r="AD10" s="38">
        <f t="shared" si="17"/>
        <v>38.8</v>
      </c>
      <c r="AE10" s="39">
        <f t="shared" si="18"/>
        <v>99.93333333</v>
      </c>
      <c r="AF10" s="38">
        <f t="shared" si="19"/>
        <v>7.855238926</v>
      </c>
      <c r="AG10" s="39">
        <f t="shared" si="20"/>
        <v>298.4</v>
      </c>
      <c r="AH10" s="39">
        <f t="shared" si="21"/>
        <v>191.5949757</v>
      </c>
      <c r="AI10" s="40">
        <f t="shared" si="22"/>
        <v>1.24810187</v>
      </c>
      <c r="AJ10" s="36">
        <f t="shared" si="23"/>
        <v>3.216757398</v>
      </c>
      <c r="AK10" s="41">
        <v>5.91</v>
      </c>
      <c r="AL10" s="42">
        <f t="shared" si="24"/>
        <v>29.2822928</v>
      </c>
      <c r="AM10" s="38">
        <f t="shared" si="25"/>
        <v>1.166889302</v>
      </c>
      <c r="AN10" s="32">
        <v>750.0</v>
      </c>
      <c r="AO10" s="42">
        <f t="shared" si="26"/>
        <v>100</v>
      </c>
    </row>
    <row r="11" ht="15.0" customHeight="1">
      <c r="A11" s="24">
        <v>6.0</v>
      </c>
      <c r="B11" s="25">
        <v>1400.0</v>
      </c>
      <c r="C11" s="26">
        <v>235.3</v>
      </c>
      <c r="D11" s="27">
        <f t="shared" si="1"/>
        <v>224.6951467</v>
      </c>
      <c r="E11" s="27">
        <f t="shared" si="2"/>
        <v>32.942</v>
      </c>
      <c r="F11" s="28" t="s">
        <v>54</v>
      </c>
      <c r="G11" s="41">
        <v>7.13</v>
      </c>
      <c r="H11" s="32">
        <v>179.4</v>
      </c>
      <c r="I11" s="31">
        <v>40.2</v>
      </c>
      <c r="J11" s="31">
        <v>25.7</v>
      </c>
      <c r="K11" s="26">
        <v>99.9333333333333</v>
      </c>
      <c r="L11" s="32">
        <v>1592.6</v>
      </c>
      <c r="M11" s="32">
        <v>48.1</v>
      </c>
      <c r="N11" s="32">
        <v>70.35</v>
      </c>
      <c r="O11" s="33">
        <f t="shared" si="3"/>
        <v>0.9702309941</v>
      </c>
      <c r="P11" s="33">
        <f t="shared" si="4"/>
        <v>0.9258647706</v>
      </c>
      <c r="Q11" s="27">
        <f t="shared" si="5"/>
        <v>457.4119142</v>
      </c>
      <c r="R11" s="27">
        <f t="shared" si="6"/>
        <v>8.024508703</v>
      </c>
      <c r="S11" s="27">
        <f t="shared" si="7"/>
        <v>6.272500269</v>
      </c>
      <c r="T11" s="34">
        <v>0.1</v>
      </c>
      <c r="U11" s="27">
        <f t="shared" si="8"/>
        <v>45.74119142</v>
      </c>
      <c r="V11" s="27">
        <f t="shared" si="9"/>
        <v>0.8024508703</v>
      </c>
      <c r="W11" s="27">
        <f t="shared" si="10"/>
        <v>0.6272500269</v>
      </c>
      <c r="X11" s="27">
        <f t="shared" si="11"/>
        <v>3.2942</v>
      </c>
      <c r="Y11" s="16">
        <f t="shared" si="12"/>
        <v>13.88537169</v>
      </c>
      <c r="Z11" s="35">
        <f t="shared" si="13"/>
        <v>-0.002036783733</v>
      </c>
      <c r="AA11" s="36">
        <f t="shared" si="14"/>
        <v>0.0006515207496</v>
      </c>
      <c r="AB11" s="36">
        <f t="shared" si="15"/>
        <v>1.03068239</v>
      </c>
      <c r="AC11" s="37">
        <f t="shared" si="16"/>
        <v>0.9258647706</v>
      </c>
      <c r="AD11" s="38">
        <f t="shared" si="17"/>
        <v>40.2</v>
      </c>
      <c r="AE11" s="39">
        <f t="shared" si="18"/>
        <v>99.93333333</v>
      </c>
      <c r="AF11" s="38">
        <f t="shared" si="19"/>
        <v>8.290827393</v>
      </c>
      <c r="AG11" s="39">
        <f t="shared" si="20"/>
        <v>298.7</v>
      </c>
      <c r="AH11" s="39">
        <f t="shared" si="21"/>
        <v>177.9248557</v>
      </c>
      <c r="AI11" s="40">
        <f t="shared" si="22"/>
        <v>1.316399892</v>
      </c>
      <c r="AJ11" s="36">
        <f t="shared" si="23"/>
        <v>3.274626598</v>
      </c>
      <c r="AK11" s="41">
        <v>5.91</v>
      </c>
      <c r="AL11" s="42">
        <f t="shared" si="24"/>
        <v>28.76481613</v>
      </c>
      <c r="AM11" s="38">
        <f t="shared" si="25"/>
        <v>1.165717334</v>
      </c>
      <c r="AN11" s="32">
        <v>750.0</v>
      </c>
      <c r="AO11" s="42">
        <f t="shared" si="26"/>
        <v>100</v>
      </c>
    </row>
    <row r="12" ht="15.0" customHeight="1">
      <c r="A12" s="24">
        <v>7.0</v>
      </c>
      <c r="B12" s="25">
        <v>1400.0</v>
      </c>
      <c r="C12" s="26">
        <v>150.3</v>
      </c>
      <c r="D12" s="27">
        <f t="shared" si="1"/>
        <v>143.5260542</v>
      </c>
      <c r="E12" s="27">
        <f t="shared" si="2"/>
        <v>21.042</v>
      </c>
      <c r="F12" s="28">
        <v>0.1</v>
      </c>
      <c r="G12" s="41">
        <v>4.85</v>
      </c>
      <c r="H12" s="32">
        <v>169.3</v>
      </c>
      <c r="I12" s="31">
        <v>41.6</v>
      </c>
      <c r="J12" s="31">
        <v>25.8</v>
      </c>
      <c r="K12" s="26">
        <v>99.9333333333333</v>
      </c>
      <c r="L12" s="32">
        <v>1132.9</v>
      </c>
      <c r="M12" s="32">
        <v>60.6</v>
      </c>
      <c r="N12" s="32">
        <v>83.8</v>
      </c>
      <c r="O12" s="33">
        <f t="shared" si="3"/>
        <v>0.9750615276</v>
      </c>
      <c r="P12" s="33">
        <f t="shared" si="4"/>
        <v>0.9465447094</v>
      </c>
      <c r="Q12" s="27">
        <f t="shared" si="5"/>
        <v>305.298031</v>
      </c>
      <c r="R12" s="27">
        <f t="shared" si="6"/>
        <v>9.649712221</v>
      </c>
      <c r="S12" s="27">
        <f t="shared" si="7"/>
        <v>6.97582206</v>
      </c>
      <c r="T12" s="34">
        <v>0.1</v>
      </c>
      <c r="U12" s="27">
        <f t="shared" si="8"/>
        <v>30.5298031</v>
      </c>
      <c r="V12" s="27">
        <f t="shared" si="9"/>
        <v>0.9649712221</v>
      </c>
      <c r="W12" s="27">
        <f t="shared" si="10"/>
        <v>0.697582206</v>
      </c>
      <c r="X12" s="27">
        <f t="shared" si="11"/>
        <v>2.1042</v>
      </c>
      <c r="Y12" s="16">
        <f t="shared" si="12"/>
        <v>14.50898351</v>
      </c>
      <c r="Z12" s="35">
        <f t="shared" si="13"/>
        <v>-0.002528630926</v>
      </c>
      <c r="AA12" s="36">
        <f t="shared" si="14"/>
        <v>0.001948208806</v>
      </c>
      <c r="AB12" s="36">
        <f t="shared" si="15"/>
        <v>1.025576306</v>
      </c>
      <c r="AC12" s="37">
        <f t="shared" si="16"/>
        <v>0.9465447094</v>
      </c>
      <c r="AD12" s="38">
        <f t="shared" si="17"/>
        <v>41.6</v>
      </c>
      <c r="AE12" s="39">
        <f t="shared" si="18"/>
        <v>99.93333333</v>
      </c>
      <c r="AF12" s="38">
        <f t="shared" si="19"/>
        <v>8.635352193</v>
      </c>
      <c r="AG12" s="39">
        <f t="shared" si="20"/>
        <v>298.8</v>
      </c>
      <c r="AH12" s="39">
        <f t="shared" si="21"/>
        <v>167.8505514</v>
      </c>
      <c r="AI12" s="40">
        <f t="shared" si="22"/>
        <v>1.370352683</v>
      </c>
      <c r="AJ12" s="36">
        <f t="shared" si="23"/>
        <v>3.294117025</v>
      </c>
      <c r="AK12" s="41">
        <v>5.98</v>
      </c>
      <c r="AL12" s="42">
        <f t="shared" si="24"/>
        <v>28.93007666</v>
      </c>
      <c r="AM12" s="38">
        <f t="shared" si="25"/>
        <v>1.165327201</v>
      </c>
      <c r="AN12" s="32">
        <v>750.0</v>
      </c>
      <c r="AO12" s="42">
        <f t="shared" si="26"/>
        <v>100</v>
      </c>
    </row>
    <row r="13" ht="15.0" customHeight="1">
      <c r="A13" s="24">
        <v>8.0</v>
      </c>
      <c r="B13" s="25">
        <v>584.0</v>
      </c>
      <c r="C13" s="26">
        <v>2.0</v>
      </c>
      <c r="D13" s="27">
        <f t="shared" si="1"/>
        <v>1.909861</v>
      </c>
      <c r="E13" s="27">
        <f t="shared" si="2"/>
        <v>0.1168</v>
      </c>
      <c r="F13" s="28">
        <v>0.03</v>
      </c>
      <c r="G13" s="41">
        <v>0.78</v>
      </c>
      <c r="H13" s="32">
        <v>61.0</v>
      </c>
      <c r="I13" s="31">
        <v>45.0</v>
      </c>
      <c r="J13" s="31">
        <v>26.5</v>
      </c>
      <c r="K13" s="26">
        <v>99.9866666666667</v>
      </c>
      <c r="L13" s="32">
        <v>490.2</v>
      </c>
      <c r="M13" s="32">
        <v>158.0</v>
      </c>
      <c r="N13" s="32">
        <v>132.0</v>
      </c>
      <c r="O13" s="33">
        <f t="shared" si="3"/>
        <v>0.9952744965</v>
      </c>
      <c r="P13" s="33">
        <f t="shared" si="4"/>
        <v>0.9761136637</v>
      </c>
      <c r="Q13" s="27">
        <f t="shared" si="5"/>
        <v>47.83447516</v>
      </c>
      <c r="R13" s="27">
        <f t="shared" si="6"/>
        <v>9.204125027</v>
      </c>
      <c r="S13" s="27">
        <f t="shared" si="7"/>
        <v>3.89807088</v>
      </c>
      <c r="T13" s="34">
        <v>0.15</v>
      </c>
      <c r="U13" s="27">
        <f t="shared" si="8"/>
        <v>7.175171274</v>
      </c>
      <c r="V13" s="27">
        <f t="shared" si="9"/>
        <v>1.380618754</v>
      </c>
      <c r="W13" s="27">
        <f t="shared" si="10"/>
        <v>0.584710632</v>
      </c>
      <c r="X13" s="27">
        <f t="shared" si="11"/>
        <v>0.01752</v>
      </c>
      <c r="Y13" s="16">
        <f t="shared" si="12"/>
        <v>409.5417394</v>
      </c>
      <c r="Z13" s="35">
        <f t="shared" si="13"/>
        <v>-0.003231892541</v>
      </c>
      <c r="AA13" s="36">
        <f t="shared" si="14"/>
        <v>0.003802262153</v>
      </c>
      <c r="AB13" s="36">
        <f t="shared" si="15"/>
        <v>1.00474794</v>
      </c>
      <c r="AC13" s="37">
        <f t="shared" si="16"/>
        <v>0.9761136637</v>
      </c>
      <c r="AD13" s="38">
        <f t="shared" si="17"/>
        <v>45</v>
      </c>
      <c r="AE13" s="39">
        <f t="shared" si="18"/>
        <v>99.98666667</v>
      </c>
      <c r="AF13" s="38">
        <f t="shared" si="19"/>
        <v>9.748106155</v>
      </c>
      <c r="AG13" s="39">
        <f t="shared" si="20"/>
        <v>299.5</v>
      </c>
      <c r="AH13" s="39">
        <f t="shared" si="21"/>
        <v>60.41110612</v>
      </c>
      <c r="AI13" s="40">
        <f t="shared" si="22"/>
        <v>1.545032205</v>
      </c>
      <c r="AJ13" s="36">
        <f t="shared" si="23"/>
        <v>3.433404901</v>
      </c>
      <c r="AK13" s="41">
        <v>6.76</v>
      </c>
      <c r="AL13" s="42">
        <f t="shared" si="24"/>
        <v>31.35457711</v>
      </c>
      <c r="AM13" s="38">
        <f t="shared" si="25"/>
        <v>1.163224034</v>
      </c>
      <c r="AN13" s="32">
        <v>750.0</v>
      </c>
      <c r="AO13" s="42">
        <f t="shared" si="26"/>
        <v>100</v>
      </c>
    </row>
    <row r="14" ht="15.0" customHeight="1">
      <c r="A14" s="43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14"/>
      <c r="T14" s="44">
        <f t="shared" ref="T14:X14" si="27">SUM(T6:T13)</f>
        <v>1</v>
      </c>
      <c r="U14" s="42">
        <f t="shared" si="27"/>
        <v>370.3383384</v>
      </c>
      <c r="V14" s="42">
        <f t="shared" si="27"/>
        <v>67.08837321</v>
      </c>
      <c r="W14" s="42">
        <f t="shared" si="27"/>
        <v>7.520698433</v>
      </c>
      <c r="X14" s="42">
        <f t="shared" si="27"/>
        <v>29.58352</v>
      </c>
      <c r="Y14" s="16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</row>
    <row r="15" ht="15.0" customHeight="1">
      <c r="A15" s="12" t="s">
        <v>7</v>
      </c>
      <c r="B15" s="12" t="s">
        <v>55</v>
      </c>
      <c r="C15" s="12" t="s">
        <v>56</v>
      </c>
      <c r="D15" s="12" t="s">
        <v>57</v>
      </c>
      <c r="E15" s="12" t="s">
        <v>58</v>
      </c>
      <c r="F15" s="12" t="s">
        <v>59</v>
      </c>
      <c r="G15" s="12" t="s">
        <v>60</v>
      </c>
      <c r="H15" s="12" t="s">
        <v>61</v>
      </c>
      <c r="I15" s="12" t="s">
        <v>62</v>
      </c>
      <c r="J15" s="12" t="s">
        <v>63</v>
      </c>
      <c r="K15" s="12" t="s">
        <v>64</v>
      </c>
      <c r="L15" s="12" t="s">
        <v>65</v>
      </c>
      <c r="M15" s="12" t="s">
        <v>66</v>
      </c>
      <c r="N15" s="12" t="s">
        <v>67</v>
      </c>
      <c r="O15" s="12" t="s">
        <v>68</v>
      </c>
      <c r="P15" s="12" t="s">
        <v>69</v>
      </c>
      <c r="Q15" s="12" t="s">
        <v>66</v>
      </c>
      <c r="R15" s="12" t="s">
        <v>70</v>
      </c>
      <c r="S15" s="12" t="s">
        <v>69</v>
      </c>
      <c r="T15" s="12" t="s">
        <v>71</v>
      </c>
      <c r="U15" s="12" t="s">
        <v>72</v>
      </c>
      <c r="V15" s="46"/>
      <c r="W15" s="47" t="s">
        <v>66</v>
      </c>
      <c r="X15" s="48" t="s">
        <v>73</v>
      </c>
      <c r="Y15" s="11"/>
    </row>
    <row r="16" ht="15.0" customHeight="1">
      <c r="A16" s="15"/>
      <c r="B16" s="12" t="s">
        <v>74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2" t="s">
        <v>75</v>
      </c>
      <c r="N16" s="15"/>
      <c r="O16" s="12" t="s">
        <v>21</v>
      </c>
      <c r="P16" s="15"/>
      <c r="Q16" s="12" t="s">
        <v>76</v>
      </c>
      <c r="R16" s="12" t="s">
        <v>76</v>
      </c>
      <c r="S16" s="12" t="s">
        <v>76</v>
      </c>
      <c r="T16" s="15"/>
      <c r="U16" s="15"/>
      <c r="V16" s="49"/>
      <c r="W16" s="47" t="s">
        <v>77</v>
      </c>
      <c r="X16" s="49"/>
    </row>
    <row r="17" ht="15.0" customHeight="1">
      <c r="A17" s="15"/>
      <c r="B17" s="15"/>
      <c r="C17" s="12" t="s">
        <v>53</v>
      </c>
      <c r="D17" s="12" t="s">
        <v>78</v>
      </c>
      <c r="E17" s="12" t="s">
        <v>79</v>
      </c>
      <c r="F17" s="12" t="s">
        <v>48</v>
      </c>
      <c r="G17" s="12" t="s">
        <v>48</v>
      </c>
      <c r="H17" s="12" t="s">
        <v>48</v>
      </c>
      <c r="I17" s="12" t="s">
        <v>48</v>
      </c>
      <c r="J17" s="12" t="s">
        <v>48</v>
      </c>
      <c r="K17" s="12" t="s">
        <v>47</v>
      </c>
      <c r="L17" s="12" t="s">
        <v>47</v>
      </c>
      <c r="M17" s="15"/>
      <c r="N17" s="12" t="s">
        <v>80</v>
      </c>
      <c r="O17" s="12" t="s">
        <v>81</v>
      </c>
      <c r="P17" s="12" t="s">
        <v>47</v>
      </c>
      <c r="Q17" s="12" t="s">
        <v>82</v>
      </c>
      <c r="R17" s="12" t="s">
        <v>46</v>
      </c>
      <c r="S17" s="12" t="s">
        <v>47</v>
      </c>
      <c r="T17" s="15"/>
      <c r="U17" s="15"/>
      <c r="V17" s="49"/>
      <c r="W17" s="47" t="s">
        <v>75</v>
      </c>
      <c r="X17" s="49"/>
    </row>
    <row r="18" ht="15.0" customHeight="1">
      <c r="A18" s="24">
        <v>1.0</v>
      </c>
      <c r="B18" s="32">
        <v>105.3</v>
      </c>
      <c r="C18" s="32">
        <v>62.625</v>
      </c>
      <c r="D18" s="31">
        <v>410.2</v>
      </c>
      <c r="E18" s="31">
        <v>2.9</v>
      </c>
      <c r="F18" s="31">
        <v>79.5</v>
      </c>
      <c r="G18" s="31">
        <v>90.0</v>
      </c>
      <c r="H18" s="50">
        <v>439.6</v>
      </c>
      <c r="I18" s="31">
        <v>37.2</v>
      </c>
      <c r="J18" s="31">
        <v>40.6</v>
      </c>
      <c r="K18" s="41">
        <v>10.2</v>
      </c>
      <c r="L18" s="41">
        <v>7.66</v>
      </c>
      <c r="M18" s="51">
        <f t="shared" ref="M18:M25" si="28">H6/G6</f>
        <v>28.83184524</v>
      </c>
      <c r="N18" s="51">
        <f t="shared" ref="N18:N24" si="29">G6*1000/E6</f>
        <v>235.4177614</v>
      </c>
      <c r="O18" s="27">
        <f t="shared" ref="O18:O25" si="30">AF6</f>
        <v>7.509088826</v>
      </c>
      <c r="P18" s="42">
        <f t="shared" ref="P18:P25" si="31">H6*100/(($D$35/1000000)*AM6*(B6/2)*60)</f>
        <v>139.4567103</v>
      </c>
      <c r="Q18" s="52">
        <f t="shared" ref="Q18:Q25" si="32">T18*14.7</f>
        <v>27.52564667</v>
      </c>
      <c r="R18" s="42">
        <f t="shared" ref="R18:R25" si="33">IF(Q18="","",Q18*G6)</f>
        <v>369.9446913</v>
      </c>
      <c r="S18" s="42">
        <f t="shared" ref="S18:S25" si="34">IF(R18="","",R18*100/(($D$35/1000000)*AM6*(B6/2)*60))</f>
        <v>133.1387604</v>
      </c>
      <c r="T18" s="53">
        <f t="shared" ref="T18:T25" si="35">Q43</f>
        <v>1.872492971</v>
      </c>
      <c r="U18" s="54"/>
      <c r="V18" s="49"/>
      <c r="W18" s="55">
        <f t="shared" ref="W18:W25" si="36">H6/G6</f>
        <v>28.83184524</v>
      </c>
      <c r="X18" s="55">
        <f t="shared" ref="X18:X25" si="37">(W18-Q18)/W18*100</f>
        <v>4.530402245</v>
      </c>
      <c r="Y18" s="11"/>
    </row>
    <row r="19" ht="15.0" customHeight="1">
      <c r="A19" s="24">
        <v>2.0</v>
      </c>
      <c r="B19" s="32">
        <v>85.9</v>
      </c>
      <c r="C19" s="32">
        <v>46.575</v>
      </c>
      <c r="D19" s="31">
        <v>340.5</v>
      </c>
      <c r="E19" s="31">
        <v>3.0</v>
      </c>
      <c r="F19" s="31">
        <v>79.6</v>
      </c>
      <c r="G19" s="31">
        <v>90.1</v>
      </c>
      <c r="H19" s="56">
        <v>376.7</v>
      </c>
      <c r="I19" s="31">
        <v>37.4</v>
      </c>
      <c r="J19" s="31">
        <v>40.6</v>
      </c>
      <c r="K19" s="41">
        <v>11.9</v>
      </c>
      <c r="L19" s="41">
        <v>6.5</v>
      </c>
      <c r="M19" s="42">
        <f t="shared" si="28"/>
        <v>33.66795367</v>
      </c>
      <c r="N19" s="42">
        <f t="shared" si="29"/>
        <v>241.4918415</v>
      </c>
      <c r="O19" s="27">
        <f t="shared" si="30"/>
        <v>7.47011814</v>
      </c>
      <c r="P19" s="42">
        <f t="shared" si="31"/>
        <v>125.6556602</v>
      </c>
      <c r="Q19" s="52">
        <f t="shared" si="32"/>
        <v>32.528933</v>
      </c>
      <c r="R19" s="42">
        <f t="shared" si="33"/>
        <v>336.9997459</v>
      </c>
      <c r="S19" s="42">
        <f t="shared" si="34"/>
        <v>121.4046031</v>
      </c>
      <c r="T19" s="53">
        <f t="shared" si="35"/>
        <v>2.212852585</v>
      </c>
      <c r="U19" s="54"/>
      <c r="V19" s="49"/>
      <c r="W19" s="55">
        <f t="shared" si="36"/>
        <v>33.66795367</v>
      </c>
      <c r="X19" s="55">
        <f t="shared" si="37"/>
        <v>3.383100377</v>
      </c>
      <c r="Y19" s="11"/>
    </row>
    <row r="20" ht="15.0" customHeight="1">
      <c r="A20" s="24">
        <v>3.0</v>
      </c>
      <c r="B20" s="32">
        <v>67.8</v>
      </c>
      <c r="C20" s="32">
        <v>33.3</v>
      </c>
      <c r="D20" s="31">
        <v>279.4</v>
      </c>
      <c r="E20" s="31">
        <v>3.1</v>
      </c>
      <c r="F20" s="31">
        <v>78.4</v>
      </c>
      <c r="G20" s="31">
        <v>88.6</v>
      </c>
      <c r="H20" s="56">
        <v>304.9</v>
      </c>
      <c r="I20" s="31">
        <v>37.4</v>
      </c>
      <c r="J20" s="31">
        <v>40.1</v>
      </c>
      <c r="K20" s="41">
        <v>13.76</v>
      </c>
      <c r="L20" s="41">
        <v>5.16</v>
      </c>
      <c r="M20" s="42">
        <f t="shared" si="28"/>
        <v>41.75202156</v>
      </c>
      <c r="N20" s="42">
        <f t="shared" si="29"/>
        <v>259.6402827</v>
      </c>
      <c r="O20" s="27">
        <f t="shared" si="30"/>
        <v>7.462683157</v>
      </c>
      <c r="P20" s="42">
        <f t="shared" si="31"/>
        <v>111.6957382</v>
      </c>
      <c r="Q20" s="52">
        <f t="shared" si="32"/>
        <v>40.64283832</v>
      </c>
      <c r="R20" s="42">
        <f t="shared" si="33"/>
        <v>301.5698603</v>
      </c>
      <c r="S20" s="42">
        <f t="shared" si="34"/>
        <v>108.7284318</v>
      </c>
      <c r="T20" s="53">
        <f t="shared" si="35"/>
        <v>2.764818933</v>
      </c>
      <c r="U20" s="54"/>
      <c r="V20" s="49"/>
      <c r="W20" s="55">
        <f t="shared" si="36"/>
        <v>41.75202156</v>
      </c>
      <c r="X20" s="55">
        <f t="shared" si="37"/>
        <v>2.656597693</v>
      </c>
      <c r="Y20" s="11"/>
    </row>
    <row r="21" ht="15.0" customHeight="1">
      <c r="A21" s="24">
        <v>4.0</v>
      </c>
      <c r="B21" s="32">
        <v>48.1</v>
      </c>
      <c r="C21" s="32">
        <v>20.25</v>
      </c>
      <c r="D21" s="31">
        <v>216.2</v>
      </c>
      <c r="E21" s="31">
        <v>3.3</v>
      </c>
      <c r="F21" s="31">
        <v>79.1</v>
      </c>
      <c r="G21" s="31">
        <v>86.8</v>
      </c>
      <c r="H21" s="56">
        <v>182.0</v>
      </c>
      <c r="I21" s="31">
        <v>37.1</v>
      </c>
      <c r="J21" s="31">
        <v>38.8</v>
      </c>
      <c r="K21" s="41">
        <v>17.3</v>
      </c>
      <c r="L21" s="41">
        <v>2.55</v>
      </c>
      <c r="M21" s="42">
        <f t="shared" si="28"/>
        <v>80.87087087</v>
      </c>
      <c r="N21" s="42">
        <f t="shared" si="29"/>
        <v>658.1027668</v>
      </c>
      <c r="O21" s="27">
        <f t="shared" si="30"/>
        <v>7.593625818</v>
      </c>
      <c r="P21" s="42">
        <f t="shared" si="31"/>
        <v>97.15899536</v>
      </c>
      <c r="Q21" s="52">
        <f t="shared" si="32"/>
        <v>78.12501503</v>
      </c>
      <c r="R21" s="42">
        <f t="shared" si="33"/>
        <v>260.1563001</v>
      </c>
      <c r="S21" s="42">
        <f t="shared" si="34"/>
        <v>93.86009933</v>
      </c>
      <c r="T21" s="53">
        <f t="shared" si="35"/>
        <v>5.314626873</v>
      </c>
      <c r="U21" s="54"/>
      <c r="V21" s="49"/>
      <c r="W21" s="55">
        <f t="shared" si="36"/>
        <v>80.87087087</v>
      </c>
      <c r="X21" s="55">
        <f t="shared" si="37"/>
        <v>3.395358313</v>
      </c>
      <c r="Y21" s="11"/>
    </row>
    <row r="22" ht="15.0" customHeight="1">
      <c r="A22" s="24">
        <v>5.0</v>
      </c>
      <c r="B22" s="32">
        <v>64.7</v>
      </c>
      <c r="C22" s="32">
        <v>18.225</v>
      </c>
      <c r="D22" s="31">
        <v>121.1</v>
      </c>
      <c r="E22" s="31">
        <v>2.8</v>
      </c>
      <c r="F22" s="31">
        <v>79.6</v>
      </c>
      <c r="G22" s="31">
        <v>85.0</v>
      </c>
      <c r="H22" s="56">
        <v>478.3</v>
      </c>
      <c r="I22" s="31">
        <v>36.3</v>
      </c>
      <c r="J22" s="31">
        <v>37.0</v>
      </c>
      <c r="K22" s="41">
        <v>5.74</v>
      </c>
      <c r="L22" s="41">
        <v>11.0</v>
      </c>
      <c r="M22" s="51">
        <f t="shared" si="28"/>
        <v>20.21989529</v>
      </c>
      <c r="N22" s="51">
        <f t="shared" si="29"/>
        <v>218.2158852</v>
      </c>
      <c r="O22" s="27">
        <f t="shared" si="30"/>
        <v>7.855238926</v>
      </c>
      <c r="P22" s="42">
        <f t="shared" si="31"/>
        <v>109.5873497</v>
      </c>
      <c r="Q22" s="52">
        <f t="shared" si="32"/>
        <v>19.83913243</v>
      </c>
      <c r="R22" s="42">
        <f t="shared" si="33"/>
        <v>189.4637147</v>
      </c>
      <c r="S22" s="42">
        <f t="shared" si="34"/>
        <v>107.5236994</v>
      </c>
      <c r="T22" s="53">
        <f t="shared" si="35"/>
        <v>1.349600845</v>
      </c>
      <c r="U22" s="54"/>
      <c r="V22" s="49"/>
      <c r="W22" s="55">
        <f t="shared" si="36"/>
        <v>20.21989529</v>
      </c>
      <c r="X22" s="55">
        <f t="shared" si="37"/>
        <v>1.883109962</v>
      </c>
      <c r="Y22" s="11"/>
    </row>
    <row r="23" ht="15.0" customHeight="1">
      <c r="A23" s="24">
        <v>6.0</v>
      </c>
      <c r="B23" s="32">
        <v>53.3</v>
      </c>
      <c r="C23" s="32">
        <v>14.025</v>
      </c>
      <c r="D23" s="31">
        <v>106.1</v>
      </c>
      <c r="E23" s="31">
        <v>2.9</v>
      </c>
      <c r="F23" s="31">
        <v>79.2</v>
      </c>
      <c r="G23" s="31">
        <v>84.3</v>
      </c>
      <c r="H23" s="56">
        <v>391.4</v>
      </c>
      <c r="I23" s="31">
        <v>36.1</v>
      </c>
      <c r="J23" s="31">
        <v>36.7</v>
      </c>
      <c r="K23" s="41">
        <v>8.88</v>
      </c>
      <c r="L23" s="41">
        <v>8.74</v>
      </c>
      <c r="M23" s="42">
        <f t="shared" si="28"/>
        <v>25.16129032</v>
      </c>
      <c r="N23" s="42">
        <f t="shared" si="29"/>
        <v>216.4410175</v>
      </c>
      <c r="O23" s="27">
        <f t="shared" si="30"/>
        <v>8.290827393</v>
      </c>
      <c r="P23" s="42">
        <f t="shared" si="31"/>
        <v>101.914738</v>
      </c>
      <c r="Q23" s="52">
        <f t="shared" si="32"/>
        <v>24.72382016</v>
      </c>
      <c r="R23" s="42">
        <f t="shared" si="33"/>
        <v>176.2808377</v>
      </c>
      <c r="S23" s="42">
        <f t="shared" si="34"/>
        <v>100.1427837</v>
      </c>
      <c r="T23" s="53">
        <f t="shared" si="35"/>
        <v>1.681892528</v>
      </c>
      <c r="U23" s="54"/>
      <c r="V23" s="49"/>
      <c r="W23" s="55">
        <f t="shared" si="36"/>
        <v>25.16129032</v>
      </c>
      <c r="X23" s="55">
        <f t="shared" si="37"/>
        <v>1.738663473</v>
      </c>
      <c r="Y23" s="11"/>
    </row>
    <row r="24" ht="15.0" customHeight="1">
      <c r="A24" s="24">
        <v>7.0</v>
      </c>
      <c r="B24" s="32">
        <v>44.2</v>
      </c>
      <c r="C24" s="32">
        <v>10.575</v>
      </c>
      <c r="D24" s="31">
        <v>95.3</v>
      </c>
      <c r="E24" s="31">
        <v>3.0</v>
      </c>
      <c r="F24" s="31">
        <v>79.3</v>
      </c>
      <c r="G24" s="31">
        <v>83.1</v>
      </c>
      <c r="H24" s="56">
        <v>298.5</v>
      </c>
      <c r="I24" s="31">
        <v>36.0</v>
      </c>
      <c r="J24" s="31">
        <v>35.9</v>
      </c>
      <c r="K24" s="41">
        <v>12.41</v>
      </c>
      <c r="L24" s="41">
        <v>6.18</v>
      </c>
      <c r="M24" s="42">
        <f t="shared" si="28"/>
        <v>34.90721649</v>
      </c>
      <c r="N24" s="42">
        <f t="shared" si="29"/>
        <v>230.4913982</v>
      </c>
      <c r="O24" s="27">
        <f t="shared" si="30"/>
        <v>8.635352193</v>
      </c>
      <c r="P24" s="42">
        <f t="shared" si="31"/>
        <v>96.20926181</v>
      </c>
      <c r="Q24" s="52">
        <f t="shared" si="32"/>
        <v>34.45652664</v>
      </c>
      <c r="R24" s="42">
        <f t="shared" si="33"/>
        <v>167.1141542</v>
      </c>
      <c r="S24" s="42">
        <f t="shared" si="34"/>
        <v>94.96709637</v>
      </c>
      <c r="T24" s="53">
        <f t="shared" si="35"/>
        <v>2.343981404</v>
      </c>
      <c r="U24" s="54"/>
      <c r="V24" s="49"/>
      <c r="W24" s="55">
        <f t="shared" si="36"/>
        <v>34.90721649</v>
      </c>
      <c r="X24" s="55">
        <f t="shared" si="37"/>
        <v>1.291107962</v>
      </c>
      <c r="Y24" s="11"/>
    </row>
    <row r="25" ht="15.0" customHeight="1">
      <c r="A25" s="24">
        <v>8.0</v>
      </c>
      <c r="B25" s="32">
        <v>34.4</v>
      </c>
      <c r="C25" s="32">
        <v>0.9</v>
      </c>
      <c r="D25" s="31">
        <v>22.1</v>
      </c>
      <c r="E25" s="31">
        <v>1.9</v>
      </c>
      <c r="F25" s="31">
        <v>77.3</v>
      </c>
      <c r="G25" s="31">
        <v>77.8</v>
      </c>
      <c r="H25" s="56">
        <v>115.8</v>
      </c>
      <c r="I25" s="31">
        <v>34.3</v>
      </c>
      <c r="J25" s="31">
        <v>34.1</v>
      </c>
      <c r="K25" s="41">
        <v>18.64</v>
      </c>
      <c r="L25" s="41">
        <v>1.57</v>
      </c>
      <c r="M25" s="42">
        <f t="shared" si="28"/>
        <v>78.20512821</v>
      </c>
      <c r="N25" s="57" t="s">
        <v>83</v>
      </c>
      <c r="O25" s="27">
        <f t="shared" si="30"/>
        <v>9.748106155</v>
      </c>
      <c r="P25" s="42">
        <f t="shared" si="31"/>
        <v>83.25100118</v>
      </c>
      <c r="Q25" s="52">
        <f t="shared" si="32"/>
        <v>121.1417035</v>
      </c>
      <c r="R25" s="42">
        <f t="shared" si="33"/>
        <v>94.49052876</v>
      </c>
      <c r="S25" s="42">
        <f t="shared" si="34"/>
        <v>128.9578872</v>
      </c>
      <c r="T25" s="53">
        <f t="shared" si="35"/>
        <v>8.240932213</v>
      </c>
      <c r="U25" s="54"/>
      <c r="V25" s="49"/>
      <c r="W25" s="55">
        <f t="shared" si="36"/>
        <v>78.20512821</v>
      </c>
      <c r="X25" s="55">
        <f t="shared" si="37"/>
        <v>-54.90250616</v>
      </c>
      <c r="Y25" s="11"/>
    </row>
    <row r="26" ht="15.75" customHeight="1">
      <c r="A26" s="58"/>
      <c r="B26" s="45"/>
      <c r="C26" s="6"/>
      <c r="D26" s="6"/>
      <c r="E26" s="6"/>
      <c r="F26" s="45"/>
      <c r="G26" s="45"/>
      <c r="I26" s="45"/>
      <c r="J26" s="45"/>
      <c r="K26" s="45"/>
      <c r="L26" s="6"/>
      <c r="M26" s="6"/>
      <c r="N26" s="6"/>
      <c r="O26" s="6"/>
      <c r="P26" s="45"/>
      <c r="Q26" s="6"/>
      <c r="R26" s="6"/>
      <c r="S26" s="6"/>
      <c r="T26" s="6"/>
      <c r="U26" s="6"/>
      <c r="V26" s="2"/>
      <c r="W26" s="6"/>
      <c r="X26" s="59"/>
      <c r="Y26" s="11"/>
    </row>
    <row r="27" ht="15.75" customHeight="1">
      <c r="A27" s="60"/>
      <c r="B27" s="61"/>
      <c r="C27" s="62" t="s">
        <v>84</v>
      </c>
      <c r="D27" s="63">
        <f>U14/X14</f>
        <v>12.51840006</v>
      </c>
      <c r="E27" s="64" t="s">
        <v>85</v>
      </c>
      <c r="F27" s="65"/>
      <c r="G27" s="2"/>
      <c r="H27" s="2"/>
      <c r="K27" s="61"/>
      <c r="L27" s="66" t="s">
        <v>86</v>
      </c>
      <c r="M27" s="67"/>
      <c r="N27" s="6"/>
      <c r="O27" s="14"/>
      <c r="P27" s="49"/>
      <c r="Q27" s="68" t="s">
        <v>87</v>
      </c>
      <c r="R27" s="69"/>
      <c r="S27" s="6"/>
      <c r="T27" s="6"/>
      <c r="U27" s="6"/>
      <c r="V27" s="6"/>
      <c r="W27" s="6"/>
      <c r="X27" s="14"/>
      <c r="Y27" s="11"/>
    </row>
    <row r="28" ht="15.75" customHeight="1">
      <c r="A28" s="60"/>
      <c r="B28" s="61"/>
      <c r="C28" s="62" t="s">
        <v>88</v>
      </c>
      <c r="D28" s="63">
        <f>V14/X14</f>
        <v>2.267761686</v>
      </c>
      <c r="E28" s="70"/>
      <c r="F28" s="71" t="s">
        <v>89</v>
      </c>
      <c r="G28" s="6"/>
      <c r="H28" s="63">
        <f>D27+D29</f>
        <v>12.77261924</v>
      </c>
      <c r="I28" s="11"/>
      <c r="K28" s="61"/>
      <c r="L28" s="72" t="s">
        <v>90</v>
      </c>
      <c r="M28" s="67"/>
      <c r="N28" s="6"/>
      <c r="O28" s="14"/>
      <c r="P28" s="49"/>
      <c r="Q28" s="73" t="s">
        <v>91</v>
      </c>
      <c r="R28" s="74" t="s">
        <v>92</v>
      </c>
      <c r="S28" s="45"/>
      <c r="T28" s="45"/>
      <c r="U28" s="45"/>
      <c r="V28" s="45"/>
      <c r="W28" s="45"/>
      <c r="X28" s="75"/>
      <c r="Y28" s="11"/>
    </row>
    <row r="29" ht="15.0" customHeight="1">
      <c r="A29" s="60"/>
      <c r="B29" s="61"/>
      <c r="C29" s="62" t="s">
        <v>93</v>
      </c>
      <c r="D29" s="63">
        <f>W14/X14</f>
        <v>0.254219188</v>
      </c>
      <c r="E29" s="70"/>
      <c r="F29" s="76"/>
      <c r="G29" s="45"/>
      <c r="H29" s="45"/>
      <c r="K29" s="61"/>
      <c r="L29" s="72" t="s">
        <v>94</v>
      </c>
      <c r="M29" s="67"/>
      <c r="N29" s="6"/>
      <c r="O29" s="14"/>
      <c r="P29" s="11"/>
      <c r="Q29" s="49"/>
      <c r="R29" s="11"/>
      <c r="X29" s="61"/>
      <c r="Y29" s="11"/>
    </row>
    <row r="30" ht="15.75" customHeight="1">
      <c r="A30" s="77"/>
      <c r="B30" s="78"/>
      <c r="C30" s="62" t="s">
        <v>95</v>
      </c>
      <c r="D30" s="79">
        <v>0.297</v>
      </c>
      <c r="E30" s="80"/>
      <c r="F30" s="77"/>
      <c r="G30" s="81"/>
      <c r="H30" s="81"/>
      <c r="I30" s="81"/>
      <c r="J30" s="81"/>
      <c r="K30" s="78"/>
      <c r="L30" s="72" t="s">
        <v>96</v>
      </c>
      <c r="M30" s="67"/>
      <c r="N30" s="6"/>
      <c r="O30" s="14"/>
      <c r="P30" s="77"/>
      <c r="Q30" s="49"/>
      <c r="R30" s="65"/>
      <c r="S30" s="2"/>
      <c r="T30" s="2"/>
      <c r="U30" s="2"/>
      <c r="V30" s="2"/>
      <c r="W30" s="2"/>
      <c r="X30" s="82"/>
      <c r="Y30" s="11"/>
    </row>
    <row r="31" ht="15.0" customHeight="1">
      <c r="A31" s="45"/>
      <c r="B31" s="6"/>
      <c r="C31" s="6"/>
      <c r="D31" s="6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R31" s="45"/>
      <c r="S31" s="45"/>
      <c r="T31" s="45"/>
      <c r="U31" s="45"/>
      <c r="V31" s="45"/>
      <c r="W31" s="45"/>
      <c r="X31" s="45"/>
    </row>
    <row r="32" ht="15.0" customHeight="1">
      <c r="A32" s="61"/>
      <c r="B32" s="83" t="s">
        <v>97</v>
      </c>
      <c r="C32" s="14"/>
      <c r="D32" s="84">
        <v>102.0</v>
      </c>
      <c r="E32" s="11"/>
    </row>
    <row r="33" ht="15.0" customHeight="1">
      <c r="A33" s="61"/>
      <c r="B33" s="83" t="s">
        <v>98</v>
      </c>
      <c r="C33" s="14"/>
      <c r="D33" s="84">
        <v>110.0</v>
      </c>
      <c r="E33" s="11"/>
    </row>
    <row r="34" ht="15.0" customHeight="1">
      <c r="A34" s="61"/>
      <c r="B34" s="83" t="s">
        <v>99</v>
      </c>
      <c r="C34" s="14"/>
      <c r="D34" s="84">
        <v>4.0</v>
      </c>
      <c r="E34" s="11"/>
    </row>
    <row r="35" ht="15.0" customHeight="1">
      <c r="A35" s="61"/>
      <c r="B35" s="83" t="s">
        <v>100</v>
      </c>
      <c r="C35" s="14"/>
      <c r="D35" s="85">
        <f>PI()/4*D32*D32*D33*D34/1000</f>
        <v>3595.364296</v>
      </c>
      <c r="E35" s="11"/>
    </row>
    <row r="36" ht="15.0" customHeight="1">
      <c r="B36" s="45"/>
      <c r="C36" s="45"/>
      <c r="D36" s="45"/>
    </row>
    <row r="37" ht="15.0" customHeight="1"/>
    <row r="38" ht="15.0" customHeight="1"/>
    <row r="39" ht="15.0" customHeight="1"/>
    <row r="40" ht="15.0" customHeight="1"/>
    <row r="41" ht="15.0" customHeight="1"/>
    <row r="42" ht="15.0" customHeight="1"/>
    <row r="43" ht="15.75" customHeight="1">
      <c r="A43" s="86" t="s">
        <v>101</v>
      </c>
      <c r="B43" s="2"/>
      <c r="C43" s="2"/>
      <c r="D43" s="2"/>
      <c r="E43" s="2"/>
      <c r="F43" s="2"/>
      <c r="G43" s="2"/>
      <c r="H43" s="2"/>
      <c r="I43" s="2"/>
      <c r="J43" s="2"/>
      <c r="Q43" s="87">
        <f t="shared" ref="Q43:Q50" si="38">(100-(M6/10000+L18+K18))/(100-(M6/10000+L18+K18)-(K18-(0.5*M6/10000))*3.762)</f>
        <v>1.872492971</v>
      </c>
    </row>
    <row r="44" ht="15.0" customHeight="1">
      <c r="A44" s="88" t="s">
        <v>7</v>
      </c>
      <c r="B44" s="88" t="s">
        <v>8</v>
      </c>
      <c r="C44" s="89" t="s">
        <v>102</v>
      </c>
      <c r="D44" s="14"/>
      <c r="E44" s="89" t="s">
        <v>103</v>
      </c>
      <c r="F44" s="6"/>
      <c r="G44" s="89" t="s">
        <v>104</v>
      </c>
      <c r="H44" s="6"/>
      <c r="I44" s="89" t="s">
        <v>105</v>
      </c>
      <c r="J44" s="6"/>
      <c r="Q44" s="87">
        <f t="shared" si="38"/>
        <v>2.212852585</v>
      </c>
    </row>
    <row r="45" ht="15.0" customHeight="1">
      <c r="A45" s="90"/>
      <c r="B45" s="88" t="s">
        <v>41</v>
      </c>
      <c r="C45" s="91" t="s">
        <v>106</v>
      </c>
      <c r="D45" s="14"/>
      <c r="E45" s="91" t="s">
        <v>106</v>
      </c>
      <c r="F45" s="6"/>
      <c r="G45" s="91" t="s">
        <v>106</v>
      </c>
      <c r="H45" s="6"/>
      <c r="I45" s="91" t="s">
        <v>107</v>
      </c>
      <c r="J45" s="6"/>
      <c r="Q45" s="87">
        <f t="shared" si="38"/>
        <v>2.764818933</v>
      </c>
    </row>
    <row r="46" ht="15.0" customHeight="1">
      <c r="A46" s="24">
        <v>1.0</v>
      </c>
      <c r="B46" s="92"/>
      <c r="C46" s="93"/>
      <c r="D46" s="14"/>
      <c r="E46" s="93"/>
      <c r="F46" s="6"/>
      <c r="G46" s="93"/>
      <c r="H46" s="6"/>
      <c r="I46" s="93"/>
      <c r="J46" s="6"/>
      <c r="Q46" s="87">
        <f t="shared" si="38"/>
        <v>5.314626873</v>
      </c>
    </row>
    <row r="47" ht="15.0" customHeight="1">
      <c r="A47" s="24">
        <v>2.0</v>
      </c>
      <c r="B47" s="92"/>
      <c r="C47" s="93"/>
      <c r="D47" s="14"/>
      <c r="E47" s="93"/>
      <c r="F47" s="6"/>
      <c r="G47" s="93"/>
      <c r="H47" s="6"/>
      <c r="I47" s="93"/>
      <c r="J47" s="6"/>
      <c r="Q47" s="87">
        <f t="shared" si="38"/>
        <v>1.349600845</v>
      </c>
    </row>
    <row r="48" ht="15.0" customHeight="1">
      <c r="A48" s="24">
        <v>3.0</v>
      </c>
      <c r="B48" s="92"/>
      <c r="C48" s="93"/>
      <c r="D48" s="14"/>
      <c r="E48" s="93"/>
      <c r="F48" s="6"/>
      <c r="G48" s="93"/>
      <c r="H48" s="6"/>
      <c r="I48" s="93"/>
      <c r="J48" s="6"/>
      <c r="Q48" s="87">
        <f t="shared" si="38"/>
        <v>1.681892528</v>
      </c>
    </row>
    <row r="49" ht="15.0" customHeight="1">
      <c r="A49" s="24">
        <v>4.0</v>
      </c>
      <c r="B49" s="92"/>
      <c r="C49" s="93"/>
      <c r="D49" s="14"/>
      <c r="E49" s="93"/>
      <c r="F49" s="6"/>
      <c r="G49" s="93"/>
      <c r="H49" s="6"/>
      <c r="I49" s="93"/>
      <c r="J49" s="6"/>
      <c r="Q49" s="87">
        <f t="shared" si="38"/>
        <v>2.343981404</v>
      </c>
    </row>
    <row r="50" ht="15.0" customHeight="1">
      <c r="A50" s="24">
        <v>5.0</v>
      </c>
      <c r="B50" s="92"/>
      <c r="C50" s="93"/>
      <c r="D50" s="14"/>
      <c r="E50" s="93"/>
      <c r="F50" s="6"/>
      <c r="G50" s="93"/>
      <c r="H50" s="6"/>
      <c r="I50" s="93"/>
      <c r="J50" s="6"/>
      <c r="Q50" s="87">
        <f t="shared" si="38"/>
        <v>8.240932213</v>
      </c>
    </row>
    <row r="51" ht="15.0" customHeight="1">
      <c r="A51" s="24">
        <v>6.0</v>
      </c>
      <c r="B51" s="92"/>
      <c r="C51" s="93"/>
      <c r="D51" s="14"/>
      <c r="E51" s="93"/>
      <c r="F51" s="6"/>
      <c r="G51" s="93"/>
      <c r="H51" s="6"/>
      <c r="I51" s="93"/>
      <c r="J51" s="6"/>
    </row>
    <row r="52" ht="15.0" customHeight="1">
      <c r="A52" s="24">
        <v>7.0</v>
      </c>
      <c r="B52" s="92"/>
      <c r="C52" s="93"/>
      <c r="D52" s="14"/>
      <c r="E52" s="93"/>
      <c r="F52" s="6"/>
      <c r="G52" s="93"/>
      <c r="H52" s="6"/>
      <c r="I52" s="93"/>
      <c r="J52" s="6"/>
    </row>
    <row r="53" ht="15.0" customHeight="1">
      <c r="A53" s="24">
        <v>8.0</v>
      </c>
      <c r="B53" s="92"/>
      <c r="C53" s="93"/>
      <c r="D53" s="14"/>
      <c r="E53" s="93"/>
      <c r="F53" s="6"/>
      <c r="G53" s="93"/>
      <c r="H53" s="6"/>
      <c r="I53" s="93"/>
      <c r="J53" s="6"/>
    </row>
  </sheetData>
  <mergeCells count="59">
    <mergeCell ref="E46:F46"/>
    <mergeCell ref="G46:H46"/>
    <mergeCell ref="E48:F48"/>
    <mergeCell ref="G48:H48"/>
    <mergeCell ref="C46:D46"/>
    <mergeCell ref="C47:D47"/>
    <mergeCell ref="E47:F47"/>
    <mergeCell ref="G47:H47"/>
    <mergeCell ref="I47:J47"/>
    <mergeCell ref="C48:D48"/>
    <mergeCell ref="I46:J46"/>
    <mergeCell ref="I48:J48"/>
    <mergeCell ref="C52:D52"/>
    <mergeCell ref="E52:F52"/>
    <mergeCell ref="G52:H52"/>
    <mergeCell ref="I52:J52"/>
    <mergeCell ref="C53:D53"/>
    <mergeCell ref="E53:F53"/>
    <mergeCell ref="G53:H53"/>
    <mergeCell ref="I53:J53"/>
    <mergeCell ref="B2:O2"/>
    <mergeCell ref="R2:T2"/>
    <mergeCell ref="U2:V2"/>
    <mergeCell ref="Q3:S3"/>
    <mergeCell ref="Q5:S5"/>
    <mergeCell ref="X15:X17"/>
    <mergeCell ref="R27:X27"/>
    <mergeCell ref="G44:H44"/>
    <mergeCell ref="I44:J44"/>
    <mergeCell ref="A43:H43"/>
    <mergeCell ref="C44:D44"/>
    <mergeCell ref="E44:F44"/>
    <mergeCell ref="B32:C32"/>
    <mergeCell ref="B33:C33"/>
    <mergeCell ref="B34:C34"/>
    <mergeCell ref="B35:C35"/>
    <mergeCell ref="M27:O27"/>
    <mergeCell ref="F28:G28"/>
    <mergeCell ref="M28:O28"/>
    <mergeCell ref="Q28:Q30"/>
    <mergeCell ref="R28:X30"/>
    <mergeCell ref="M29:O29"/>
    <mergeCell ref="M30:O30"/>
    <mergeCell ref="C45:D45"/>
    <mergeCell ref="E45:F45"/>
    <mergeCell ref="G45:H45"/>
    <mergeCell ref="I45:J45"/>
    <mergeCell ref="C50:D50"/>
    <mergeCell ref="C51:D51"/>
    <mergeCell ref="E51:F51"/>
    <mergeCell ref="G51:H51"/>
    <mergeCell ref="I51:J51"/>
    <mergeCell ref="C49:D49"/>
    <mergeCell ref="E49:F49"/>
    <mergeCell ref="G49:H49"/>
    <mergeCell ref="I49:J49"/>
    <mergeCell ref="E50:F50"/>
    <mergeCell ref="G50:H50"/>
    <mergeCell ref="I50:J5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2.75"/>
  <cols>
    <col customWidth="1" min="1" max="6" width="9.29"/>
  </cols>
  <sheetData>
    <row r="1" ht="15.0" customHeight="1"/>
    <row r="2" ht="15.0" customHeight="1"/>
    <row r="3" ht="15.0" customHeight="1"/>
    <row r="4" ht="15.0" customHeight="1"/>
    <row r="5" ht="15.0" customHeight="1"/>
    <row r="6" ht="15.0" customHeight="1"/>
    <row r="7" ht="15.0" customHeight="1"/>
    <row r="8" ht="15.0" customHeight="1"/>
    <row r="9" ht="15.0" customHeight="1"/>
    <row r="10" ht="15.0" customHeight="1"/>
    <row r="11" ht="15.0" customHeight="1"/>
    <row r="12" ht="15.0" customHeight="1"/>
    <row r="13" ht="15.0" customHeight="1"/>
    <row r="14" ht="15.0" customHeight="1"/>
    <row r="15" ht="15.0" customHeight="1"/>
    <row r="16" ht="15.0" customHeight="1"/>
    <row r="17" ht="15.0" customHeight="1"/>
    <row r="18" ht="15.0" customHeight="1"/>
    <row r="19" ht="15.0" customHeight="1"/>
    <row r="20" ht="15.0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2.75"/>
  <cols>
    <col customWidth="1" min="1" max="6" width="9.29"/>
  </cols>
  <sheetData>
    <row r="1" ht="15.0" customHeight="1"/>
    <row r="2" ht="15.0" customHeight="1"/>
    <row r="3" ht="15.0" customHeight="1"/>
    <row r="4" ht="15.0" customHeight="1"/>
    <row r="5" ht="15.0" customHeight="1"/>
    <row r="6" ht="15.0" customHeight="1"/>
    <row r="7" ht="15.0" customHeight="1"/>
    <row r="8" ht="15.0" customHeight="1"/>
    <row r="9" ht="15.0" customHeight="1"/>
    <row r="10" ht="15.0" customHeight="1"/>
    <row r="11" ht="15.0" customHeight="1"/>
    <row r="12" ht="15.0" customHeight="1"/>
    <row r="13" ht="15.0" customHeight="1"/>
    <row r="14" ht="15.0" customHeight="1"/>
    <row r="15" ht="15.0" customHeight="1"/>
    <row r="16" ht="15.0" customHeight="1"/>
    <row r="17" ht="15.0" customHeight="1"/>
    <row r="18" ht="15.0" customHeight="1"/>
    <row r="19" ht="15.0" customHeight="1"/>
    <row r="20" ht="15.0" customHeight="1"/>
  </sheetData>
  <drawing r:id="rId1"/>
</worksheet>
</file>